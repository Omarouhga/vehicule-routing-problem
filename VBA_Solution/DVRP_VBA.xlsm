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_PC\Desktop\"/>
    </mc:Choice>
  </mc:AlternateContent>
  <xr:revisionPtr revIDLastSave="0" documentId="13_ncr:1_{92A4C4BA-3610-486F-ABD5-576FBAED6CD4}" xr6:coauthVersionLast="47" xr6:coauthVersionMax="47" xr10:uidLastSave="{00000000-0000-0000-0000-000000000000}"/>
  <bookViews>
    <workbookView xWindow="-120" yWindow="-120" windowWidth="24240" windowHeight="13290" xr2:uid="{30E50414-35B6-4C95-A66A-198B16F94E73}"/>
  </bookViews>
  <sheets>
    <sheet name="Sheet1" sheetId="1" r:id="rId1"/>
    <sheet name="Sheet2" sheetId="2" r:id="rId2"/>
  </sheets>
  <definedNames>
    <definedName name="OpenSolver_ChosenSolver" localSheetId="0" hidden="1">CBC</definedName>
    <definedName name="OpenSolver_DualsNewSheet" localSheetId="0" hidden="1">0</definedName>
    <definedName name="OpenSolver_LinearityCheck" localSheetId="0" hidden="1">1</definedName>
    <definedName name="OpenSolver_UpdateSensitivity" localSheetId="0" hidden="1">1</definedName>
    <definedName name="solver_adj" localSheetId="0" hidden="1">Sheet1!$CI$4:$FD$77,Sheet1!$CI$83:$FD$156</definedName>
    <definedName name="solver_cvg" localSheetId="0" hidden="1">0.000001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Sheet1!$CI$4</definedName>
    <definedName name="solver_lhs2" localSheetId="0" hidden="1">Sheet1!$FG$83:$FG$156</definedName>
    <definedName name="solver_lhs3" localSheetId="0" hidden="1">Sheet1!$CJ$78:$FD$78</definedName>
    <definedName name="solver_lhs4" localSheetId="0" hidden="1">Sheet1!$FE$5:$FE$77</definedName>
    <definedName name="solver_lhs5" localSheetId="0" hidden="1">Sheet1!$CI$4:$FD$77</definedName>
    <definedName name="solver_lhs6" localSheetId="0" hidden="1">Sheet1!$I$83:$CD$156</definedName>
    <definedName name="solver_lhs7" localSheetId="0" hidden="1">Sheet1!$FE$14</definedName>
    <definedName name="solver_lhs8" localSheetId="0" hidden="1">Sheet1!$CI$4:$FD$77</definedName>
    <definedName name="solver_lhs9" localSheetId="0" hidden="1">Sheet1!$I$83:$CD$156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6</definedName>
    <definedName name="solver_nwt" localSheetId="0" hidden="1">1</definedName>
    <definedName name="solver_opt" localSheetId="0" hidden="1">Sheet1!$C$4</definedName>
    <definedName name="solver_pre" localSheetId="0" hidden="1">0.00000001</definedName>
    <definedName name="solver_rbv" localSheetId="0" hidden="1">2</definedName>
    <definedName name="solver_rel1" localSheetId="0" hidden="1">2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5</definedName>
    <definedName name="solver_rel6" localSheetId="0" hidden="1">1</definedName>
    <definedName name="solver_rel7" localSheetId="0" hidden="1">2</definedName>
    <definedName name="solver_rel8" localSheetId="0" hidden="1">5</definedName>
    <definedName name="solver_rel9" localSheetId="0" hidden="1">1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hs5" localSheetId="0" hidden="1">"binaire"</definedName>
    <definedName name="solver_rhs6" localSheetId="0" hidden="1">0</definedName>
    <definedName name="solver_rhs7" localSheetId="0" hidden="1">8</definedName>
    <definedName name="solver_rhs8" localSheetId="0" hidden="1">"binaire"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1</definedName>
    <definedName name="solver_ssz" localSheetId="0" hidden="1">100</definedName>
    <definedName name="solver_tim" localSheetId="0" hidden="1">7200</definedName>
    <definedName name="solver_tol" localSheetId="0" hidden="1">0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8" i="1" l="1"/>
  <c r="F77" i="1"/>
  <c r="L6" i="1"/>
  <c r="M6" i="1"/>
  <c r="K7" i="1"/>
  <c r="M7" i="1"/>
  <c r="K8" i="1"/>
  <c r="L8" i="1"/>
  <c r="K9" i="1"/>
  <c r="L9" i="1"/>
  <c r="M9" i="1"/>
  <c r="K10" i="1"/>
  <c r="L10" i="1"/>
  <c r="M10" i="1"/>
  <c r="K11" i="1"/>
  <c r="L11" i="1"/>
  <c r="M11" i="1"/>
  <c r="K12" i="1"/>
  <c r="L12" i="1"/>
  <c r="M12" i="1"/>
  <c r="K13" i="1"/>
  <c r="L13" i="1"/>
  <c r="M13" i="1"/>
  <c r="K14" i="1"/>
  <c r="L14" i="1"/>
  <c r="M14" i="1"/>
  <c r="K15" i="1"/>
  <c r="L15" i="1"/>
  <c r="M15" i="1"/>
  <c r="K16" i="1"/>
  <c r="L16" i="1"/>
  <c r="M16" i="1"/>
  <c r="K17" i="1"/>
  <c r="L17" i="1"/>
  <c r="M17" i="1"/>
  <c r="K18" i="1"/>
  <c r="L18" i="1"/>
  <c r="M18" i="1"/>
  <c r="K19" i="1"/>
  <c r="L19" i="1"/>
  <c r="M19" i="1"/>
  <c r="K20" i="1"/>
  <c r="L20" i="1"/>
  <c r="M20" i="1"/>
  <c r="K21" i="1"/>
  <c r="L21" i="1"/>
  <c r="M21" i="1"/>
  <c r="K22" i="1"/>
  <c r="L22" i="1"/>
  <c r="M22" i="1"/>
  <c r="K23" i="1"/>
  <c r="L23" i="1"/>
  <c r="M23" i="1"/>
  <c r="K24" i="1"/>
  <c r="L24" i="1"/>
  <c r="M24" i="1"/>
  <c r="K25" i="1"/>
  <c r="L25" i="1"/>
  <c r="M25" i="1"/>
  <c r="K26" i="1"/>
  <c r="L26" i="1"/>
  <c r="M26" i="1"/>
  <c r="K27" i="1"/>
  <c r="L27" i="1"/>
  <c r="M27" i="1"/>
  <c r="K28" i="1"/>
  <c r="L28" i="1"/>
  <c r="M28" i="1"/>
  <c r="K29" i="1"/>
  <c r="L29" i="1"/>
  <c r="M29" i="1"/>
  <c r="K30" i="1"/>
  <c r="L30" i="1"/>
  <c r="M30" i="1"/>
  <c r="K31" i="1"/>
  <c r="L31" i="1"/>
  <c r="M31" i="1"/>
  <c r="K32" i="1"/>
  <c r="L32" i="1"/>
  <c r="M32" i="1"/>
  <c r="K33" i="1"/>
  <c r="L33" i="1"/>
  <c r="M33" i="1"/>
  <c r="K34" i="1"/>
  <c r="L34" i="1"/>
  <c r="M34" i="1"/>
  <c r="K35" i="1"/>
  <c r="L35" i="1"/>
  <c r="M35" i="1"/>
  <c r="K36" i="1"/>
  <c r="L36" i="1"/>
  <c r="M36" i="1"/>
  <c r="K37" i="1"/>
  <c r="L37" i="1"/>
  <c r="M37" i="1"/>
  <c r="K38" i="1"/>
  <c r="L38" i="1"/>
  <c r="M38" i="1"/>
  <c r="K39" i="1"/>
  <c r="L39" i="1"/>
  <c r="M39" i="1"/>
  <c r="K40" i="1"/>
  <c r="L40" i="1"/>
  <c r="M40" i="1"/>
  <c r="K41" i="1"/>
  <c r="L41" i="1"/>
  <c r="M41" i="1"/>
  <c r="K42" i="1"/>
  <c r="L42" i="1"/>
  <c r="M42" i="1"/>
  <c r="K43" i="1"/>
  <c r="L43" i="1"/>
  <c r="M43" i="1"/>
  <c r="K44" i="1"/>
  <c r="L44" i="1"/>
  <c r="M44" i="1"/>
  <c r="K45" i="1"/>
  <c r="L45" i="1"/>
  <c r="M45" i="1"/>
  <c r="K46" i="1"/>
  <c r="L46" i="1"/>
  <c r="M46" i="1"/>
  <c r="K47" i="1"/>
  <c r="L47" i="1"/>
  <c r="M47" i="1"/>
  <c r="K48" i="1"/>
  <c r="L48" i="1"/>
  <c r="M48" i="1"/>
  <c r="K49" i="1"/>
  <c r="L49" i="1"/>
  <c r="M49" i="1"/>
  <c r="K50" i="1"/>
  <c r="L50" i="1"/>
  <c r="M50" i="1"/>
  <c r="K51" i="1"/>
  <c r="L51" i="1"/>
  <c r="M51" i="1"/>
  <c r="K52" i="1"/>
  <c r="L52" i="1"/>
  <c r="M52" i="1"/>
  <c r="K53" i="1"/>
  <c r="L53" i="1"/>
  <c r="M53" i="1"/>
  <c r="K54" i="1"/>
  <c r="L54" i="1"/>
  <c r="M54" i="1"/>
  <c r="K55" i="1"/>
  <c r="L55" i="1"/>
  <c r="M55" i="1"/>
  <c r="K56" i="1"/>
  <c r="L56" i="1"/>
  <c r="M56" i="1"/>
  <c r="K57" i="1"/>
  <c r="L57" i="1"/>
  <c r="M57" i="1"/>
  <c r="K58" i="1"/>
  <c r="L58" i="1"/>
  <c r="M58" i="1"/>
  <c r="K59" i="1"/>
  <c r="L59" i="1"/>
  <c r="M59" i="1"/>
  <c r="K60" i="1"/>
  <c r="L60" i="1"/>
  <c r="M60" i="1"/>
  <c r="K61" i="1"/>
  <c r="L61" i="1"/>
  <c r="M61" i="1"/>
  <c r="K62" i="1"/>
  <c r="L62" i="1"/>
  <c r="M62" i="1"/>
  <c r="K63" i="1"/>
  <c r="L63" i="1"/>
  <c r="M63" i="1"/>
  <c r="K64" i="1"/>
  <c r="L64" i="1"/>
  <c r="M64" i="1"/>
  <c r="K65" i="1"/>
  <c r="L65" i="1"/>
  <c r="M65" i="1"/>
  <c r="K66" i="1"/>
  <c r="L66" i="1"/>
  <c r="M66" i="1"/>
  <c r="K67" i="1"/>
  <c r="L67" i="1"/>
  <c r="M67" i="1"/>
  <c r="K68" i="1"/>
  <c r="L68" i="1"/>
  <c r="M68" i="1"/>
  <c r="K69" i="1"/>
  <c r="L69" i="1"/>
  <c r="M69" i="1"/>
  <c r="K70" i="1"/>
  <c r="L70" i="1"/>
  <c r="M70" i="1"/>
  <c r="K71" i="1"/>
  <c r="L71" i="1"/>
  <c r="M71" i="1"/>
  <c r="K72" i="1"/>
  <c r="L72" i="1"/>
  <c r="M72" i="1"/>
  <c r="K73" i="1"/>
  <c r="L73" i="1"/>
  <c r="M73" i="1"/>
  <c r="K74" i="1"/>
  <c r="L74" i="1"/>
  <c r="M74" i="1"/>
  <c r="K75" i="1"/>
  <c r="L75" i="1"/>
  <c r="M75" i="1"/>
  <c r="K76" i="1"/>
  <c r="L76" i="1"/>
  <c r="M7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BV105" i="1"/>
  <c r="BW105" i="1"/>
  <c r="BX105" i="1"/>
  <c r="BY105" i="1"/>
  <c r="BZ105" i="1"/>
  <c r="CA105" i="1"/>
  <c r="CB105" i="1"/>
  <c r="CC105" i="1"/>
  <c r="CD105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BX106" i="1"/>
  <c r="BY106" i="1"/>
  <c r="BZ106" i="1"/>
  <c r="CA106" i="1"/>
  <c r="CB106" i="1"/>
  <c r="CC106" i="1"/>
  <c r="CD106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BV107" i="1"/>
  <c r="BW107" i="1"/>
  <c r="BX107" i="1"/>
  <c r="BY107" i="1"/>
  <c r="BZ107" i="1"/>
  <c r="CA107" i="1"/>
  <c r="CB107" i="1"/>
  <c r="CC107" i="1"/>
  <c r="CD107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BV108" i="1"/>
  <c r="BW108" i="1"/>
  <c r="BX108" i="1"/>
  <c r="BY108" i="1"/>
  <c r="BZ108" i="1"/>
  <c r="CA108" i="1"/>
  <c r="CB108" i="1"/>
  <c r="CC108" i="1"/>
  <c r="CD108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BV109" i="1"/>
  <c r="BW109" i="1"/>
  <c r="BX109" i="1"/>
  <c r="BY109" i="1"/>
  <c r="BZ109" i="1"/>
  <c r="CA109" i="1"/>
  <c r="CB109" i="1"/>
  <c r="CC109" i="1"/>
  <c r="CD109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BV110" i="1"/>
  <c r="BW110" i="1"/>
  <c r="BX110" i="1"/>
  <c r="BY110" i="1"/>
  <c r="BZ110" i="1"/>
  <c r="CA110" i="1"/>
  <c r="CB110" i="1"/>
  <c r="CC110" i="1"/>
  <c r="CD110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BV111" i="1"/>
  <c r="BW111" i="1"/>
  <c r="BX111" i="1"/>
  <c r="BY111" i="1"/>
  <c r="BZ111" i="1"/>
  <c r="CA111" i="1"/>
  <c r="CB111" i="1"/>
  <c r="CC111" i="1"/>
  <c r="CD111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BV112" i="1"/>
  <c r="BW112" i="1"/>
  <c r="BX112" i="1"/>
  <c r="BY112" i="1"/>
  <c r="BZ112" i="1"/>
  <c r="CA112" i="1"/>
  <c r="CB112" i="1"/>
  <c r="CC112" i="1"/>
  <c r="CD112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BV113" i="1"/>
  <c r="BW113" i="1"/>
  <c r="BX113" i="1"/>
  <c r="BY113" i="1"/>
  <c r="BZ113" i="1"/>
  <c r="CA113" i="1"/>
  <c r="CB113" i="1"/>
  <c r="CC113" i="1"/>
  <c r="CD113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BV114" i="1"/>
  <c r="BW114" i="1"/>
  <c r="BX114" i="1"/>
  <c r="BY114" i="1"/>
  <c r="BZ114" i="1"/>
  <c r="CA114" i="1"/>
  <c r="CB114" i="1"/>
  <c r="CC114" i="1"/>
  <c r="CD114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BV115" i="1"/>
  <c r="BW115" i="1"/>
  <c r="BX115" i="1"/>
  <c r="BY115" i="1"/>
  <c r="BZ115" i="1"/>
  <c r="CA115" i="1"/>
  <c r="CB115" i="1"/>
  <c r="CC115" i="1"/>
  <c r="CD115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BV116" i="1"/>
  <c r="BW116" i="1"/>
  <c r="BX116" i="1"/>
  <c r="BY116" i="1"/>
  <c r="BZ116" i="1"/>
  <c r="CA116" i="1"/>
  <c r="CB116" i="1"/>
  <c r="CC116" i="1"/>
  <c r="CD116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BV117" i="1"/>
  <c r="BW117" i="1"/>
  <c r="BX117" i="1"/>
  <c r="BY117" i="1"/>
  <c r="BZ117" i="1"/>
  <c r="CA117" i="1"/>
  <c r="CB117" i="1"/>
  <c r="CC117" i="1"/>
  <c r="CD117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BV118" i="1"/>
  <c r="BW118" i="1"/>
  <c r="BX118" i="1"/>
  <c r="BY118" i="1"/>
  <c r="BZ118" i="1"/>
  <c r="CA118" i="1"/>
  <c r="CB118" i="1"/>
  <c r="CC118" i="1"/>
  <c r="CD118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BV119" i="1"/>
  <c r="BW119" i="1"/>
  <c r="BX119" i="1"/>
  <c r="BY119" i="1"/>
  <c r="BZ119" i="1"/>
  <c r="CA119" i="1"/>
  <c r="CB119" i="1"/>
  <c r="CC119" i="1"/>
  <c r="CD119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BV120" i="1"/>
  <c r="BW120" i="1"/>
  <c r="BX120" i="1"/>
  <c r="BY120" i="1"/>
  <c r="BZ120" i="1"/>
  <c r="CA120" i="1"/>
  <c r="CB120" i="1"/>
  <c r="CC120" i="1"/>
  <c r="CD120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BV121" i="1"/>
  <c r="BW121" i="1"/>
  <c r="BX121" i="1"/>
  <c r="BY121" i="1"/>
  <c r="BZ121" i="1"/>
  <c r="CA121" i="1"/>
  <c r="CB121" i="1"/>
  <c r="CC121" i="1"/>
  <c r="CD121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BV122" i="1"/>
  <c r="BW122" i="1"/>
  <c r="BX122" i="1"/>
  <c r="BY122" i="1"/>
  <c r="BZ122" i="1"/>
  <c r="CA122" i="1"/>
  <c r="CB122" i="1"/>
  <c r="CC122" i="1"/>
  <c r="CD122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BV123" i="1"/>
  <c r="BW123" i="1"/>
  <c r="BX123" i="1"/>
  <c r="BY123" i="1"/>
  <c r="BZ123" i="1"/>
  <c r="CA123" i="1"/>
  <c r="CB123" i="1"/>
  <c r="CC123" i="1"/>
  <c r="CD123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BV124" i="1"/>
  <c r="BW124" i="1"/>
  <c r="BX124" i="1"/>
  <c r="BY124" i="1"/>
  <c r="BZ124" i="1"/>
  <c r="CA124" i="1"/>
  <c r="CB124" i="1"/>
  <c r="CC124" i="1"/>
  <c r="CD124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BV125" i="1"/>
  <c r="BW125" i="1"/>
  <c r="BX125" i="1"/>
  <c r="BY125" i="1"/>
  <c r="BZ125" i="1"/>
  <c r="CA125" i="1"/>
  <c r="CB125" i="1"/>
  <c r="CC125" i="1"/>
  <c r="CD125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BV126" i="1"/>
  <c r="BW126" i="1"/>
  <c r="BX126" i="1"/>
  <c r="BY126" i="1"/>
  <c r="BZ126" i="1"/>
  <c r="CA126" i="1"/>
  <c r="CB126" i="1"/>
  <c r="CC126" i="1"/>
  <c r="CD126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BV127" i="1"/>
  <c r="BW127" i="1"/>
  <c r="BX127" i="1"/>
  <c r="BY127" i="1"/>
  <c r="BZ127" i="1"/>
  <c r="CA127" i="1"/>
  <c r="CB127" i="1"/>
  <c r="CC127" i="1"/>
  <c r="CD127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BV128" i="1"/>
  <c r="BW128" i="1"/>
  <c r="BX128" i="1"/>
  <c r="BY128" i="1"/>
  <c r="BZ128" i="1"/>
  <c r="CA128" i="1"/>
  <c r="CB128" i="1"/>
  <c r="CC128" i="1"/>
  <c r="CD128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BV129" i="1"/>
  <c r="BW129" i="1"/>
  <c r="BX129" i="1"/>
  <c r="BY129" i="1"/>
  <c r="BZ129" i="1"/>
  <c r="CA129" i="1"/>
  <c r="CB129" i="1"/>
  <c r="CC129" i="1"/>
  <c r="CD129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BV130" i="1"/>
  <c r="BW130" i="1"/>
  <c r="BX130" i="1"/>
  <c r="BY130" i="1"/>
  <c r="BZ130" i="1"/>
  <c r="CA130" i="1"/>
  <c r="CB130" i="1"/>
  <c r="CC130" i="1"/>
  <c r="CD130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BV131" i="1"/>
  <c r="BW131" i="1"/>
  <c r="BX131" i="1"/>
  <c r="BY131" i="1"/>
  <c r="BZ131" i="1"/>
  <c r="CA131" i="1"/>
  <c r="CB131" i="1"/>
  <c r="CC131" i="1"/>
  <c r="CD131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BV132" i="1"/>
  <c r="BW132" i="1"/>
  <c r="BX132" i="1"/>
  <c r="BY132" i="1"/>
  <c r="BZ132" i="1"/>
  <c r="CA132" i="1"/>
  <c r="CB132" i="1"/>
  <c r="CC132" i="1"/>
  <c r="CD132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BV133" i="1"/>
  <c r="BW133" i="1"/>
  <c r="BX133" i="1"/>
  <c r="BY133" i="1"/>
  <c r="BZ133" i="1"/>
  <c r="CA133" i="1"/>
  <c r="CB133" i="1"/>
  <c r="CC133" i="1"/>
  <c r="CD133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BV134" i="1"/>
  <c r="BW134" i="1"/>
  <c r="BX134" i="1"/>
  <c r="BY134" i="1"/>
  <c r="BZ134" i="1"/>
  <c r="CA134" i="1"/>
  <c r="CB134" i="1"/>
  <c r="CC134" i="1"/>
  <c r="CD134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BV135" i="1"/>
  <c r="BW135" i="1"/>
  <c r="BX135" i="1"/>
  <c r="BY135" i="1"/>
  <c r="BZ135" i="1"/>
  <c r="CA135" i="1"/>
  <c r="CB135" i="1"/>
  <c r="CC135" i="1"/>
  <c r="CD135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BV136" i="1"/>
  <c r="BW136" i="1"/>
  <c r="BX136" i="1"/>
  <c r="BY136" i="1"/>
  <c r="BZ136" i="1"/>
  <c r="CA136" i="1"/>
  <c r="CB136" i="1"/>
  <c r="CC136" i="1"/>
  <c r="CD136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BV137" i="1"/>
  <c r="BW137" i="1"/>
  <c r="BX137" i="1"/>
  <c r="BY137" i="1"/>
  <c r="BZ137" i="1"/>
  <c r="CA137" i="1"/>
  <c r="CB137" i="1"/>
  <c r="CC137" i="1"/>
  <c r="CD137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BV138" i="1"/>
  <c r="BW138" i="1"/>
  <c r="BX138" i="1"/>
  <c r="BY138" i="1"/>
  <c r="BZ138" i="1"/>
  <c r="CA138" i="1"/>
  <c r="CB138" i="1"/>
  <c r="CC138" i="1"/>
  <c r="CD138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BN139" i="1"/>
  <c r="BO139" i="1"/>
  <c r="BP139" i="1"/>
  <c r="BQ139" i="1"/>
  <c r="BR139" i="1"/>
  <c r="BS139" i="1"/>
  <c r="BT139" i="1"/>
  <c r="BU139" i="1"/>
  <c r="BV139" i="1"/>
  <c r="BW139" i="1"/>
  <c r="BX139" i="1"/>
  <c r="BY139" i="1"/>
  <c r="BZ139" i="1"/>
  <c r="CA139" i="1"/>
  <c r="CB139" i="1"/>
  <c r="CC139" i="1"/>
  <c r="CD139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BN140" i="1"/>
  <c r="BO140" i="1"/>
  <c r="BP140" i="1"/>
  <c r="BQ140" i="1"/>
  <c r="BR140" i="1"/>
  <c r="BS140" i="1"/>
  <c r="BT140" i="1"/>
  <c r="BU140" i="1"/>
  <c r="BV140" i="1"/>
  <c r="BW140" i="1"/>
  <c r="BX140" i="1"/>
  <c r="BY140" i="1"/>
  <c r="BZ140" i="1"/>
  <c r="CA140" i="1"/>
  <c r="CB140" i="1"/>
  <c r="CC140" i="1"/>
  <c r="CD140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BN141" i="1"/>
  <c r="BO141" i="1"/>
  <c r="BP141" i="1"/>
  <c r="BQ141" i="1"/>
  <c r="BR141" i="1"/>
  <c r="BS141" i="1"/>
  <c r="BT141" i="1"/>
  <c r="BU141" i="1"/>
  <c r="BV141" i="1"/>
  <c r="BW141" i="1"/>
  <c r="BX141" i="1"/>
  <c r="BY141" i="1"/>
  <c r="BZ141" i="1"/>
  <c r="CA141" i="1"/>
  <c r="CB141" i="1"/>
  <c r="CC141" i="1"/>
  <c r="CD141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BN142" i="1"/>
  <c r="BO142" i="1"/>
  <c r="BP142" i="1"/>
  <c r="BQ142" i="1"/>
  <c r="BR142" i="1"/>
  <c r="BS142" i="1"/>
  <c r="BT142" i="1"/>
  <c r="BU142" i="1"/>
  <c r="BV142" i="1"/>
  <c r="BW142" i="1"/>
  <c r="BX142" i="1"/>
  <c r="BY142" i="1"/>
  <c r="BZ142" i="1"/>
  <c r="CA142" i="1"/>
  <c r="CB142" i="1"/>
  <c r="CC142" i="1"/>
  <c r="CD142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BN143" i="1"/>
  <c r="BO143" i="1"/>
  <c r="BP143" i="1"/>
  <c r="BQ143" i="1"/>
  <c r="BR143" i="1"/>
  <c r="BS143" i="1"/>
  <c r="BT143" i="1"/>
  <c r="BU143" i="1"/>
  <c r="BV143" i="1"/>
  <c r="BW143" i="1"/>
  <c r="BX143" i="1"/>
  <c r="BY143" i="1"/>
  <c r="BZ143" i="1"/>
  <c r="CA143" i="1"/>
  <c r="CB143" i="1"/>
  <c r="CC143" i="1"/>
  <c r="CD143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BN144" i="1"/>
  <c r="BO144" i="1"/>
  <c r="BP144" i="1"/>
  <c r="BQ144" i="1"/>
  <c r="BR144" i="1"/>
  <c r="BS144" i="1"/>
  <c r="BT144" i="1"/>
  <c r="BU144" i="1"/>
  <c r="BV144" i="1"/>
  <c r="BW144" i="1"/>
  <c r="BX144" i="1"/>
  <c r="BY144" i="1"/>
  <c r="BZ144" i="1"/>
  <c r="CA144" i="1"/>
  <c r="CB144" i="1"/>
  <c r="CC144" i="1"/>
  <c r="CD144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BN145" i="1"/>
  <c r="BO145" i="1"/>
  <c r="BP145" i="1"/>
  <c r="BQ145" i="1"/>
  <c r="BR145" i="1"/>
  <c r="BS145" i="1"/>
  <c r="BT145" i="1"/>
  <c r="BU145" i="1"/>
  <c r="BV145" i="1"/>
  <c r="BW145" i="1"/>
  <c r="BX145" i="1"/>
  <c r="BY145" i="1"/>
  <c r="BZ145" i="1"/>
  <c r="CA145" i="1"/>
  <c r="CB145" i="1"/>
  <c r="CC145" i="1"/>
  <c r="CD145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P146" i="1"/>
  <c r="BQ146" i="1"/>
  <c r="BR146" i="1"/>
  <c r="BS146" i="1"/>
  <c r="BT146" i="1"/>
  <c r="BU146" i="1"/>
  <c r="BV146" i="1"/>
  <c r="BW146" i="1"/>
  <c r="BX146" i="1"/>
  <c r="BY146" i="1"/>
  <c r="BZ146" i="1"/>
  <c r="CA146" i="1"/>
  <c r="CB146" i="1"/>
  <c r="CC146" i="1"/>
  <c r="CD146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W147" i="1"/>
  <c r="AX147" i="1"/>
  <c r="AY147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BN147" i="1"/>
  <c r="BO147" i="1"/>
  <c r="BP147" i="1"/>
  <c r="BQ147" i="1"/>
  <c r="BR147" i="1"/>
  <c r="BS147" i="1"/>
  <c r="BT147" i="1"/>
  <c r="BU147" i="1"/>
  <c r="BV147" i="1"/>
  <c r="BW147" i="1"/>
  <c r="BX147" i="1"/>
  <c r="BY147" i="1"/>
  <c r="BZ147" i="1"/>
  <c r="CA147" i="1"/>
  <c r="CB147" i="1"/>
  <c r="CC147" i="1"/>
  <c r="CD147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AQ148" i="1"/>
  <c r="AR148" i="1"/>
  <c r="AS148" i="1"/>
  <c r="AT148" i="1"/>
  <c r="AU148" i="1"/>
  <c r="AV148" i="1"/>
  <c r="AW148" i="1"/>
  <c r="AX148" i="1"/>
  <c r="AY148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BN148" i="1"/>
  <c r="BO148" i="1"/>
  <c r="BP148" i="1"/>
  <c r="BQ148" i="1"/>
  <c r="BR148" i="1"/>
  <c r="BS148" i="1"/>
  <c r="BT148" i="1"/>
  <c r="BU148" i="1"/>
  <c r="BV148" i="1"/>
  <c r="BW148" i="1"/>
  <c r="BX148" i="1"/>
  <c r="BY148" i="1"/>
  <c r="BZ148" i="1"/>
  <c r="CA148" i="1"/>
  <c r="CB148" i="1"/>
  <c r="CC148" i="1"/>
  <c r="CD148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W149" i="1"/>
  <c r="AX149" i="1"/>
  <c r="AY149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BP149" i="1"/>
  <c r="BQ149" i="1"/>
  <c r="BR149" i="1"/>
  <c r="BS149" i="1"/>
  <c r="BT149" i="1"/>
  <c r="BU149" i="1"/>
  <c r="BV149" i="1"/>
  <c r="BW149" i="1"/>
  <c r="BX149" i="1"/>
  <c r="BY149" i="1"/>
  <c r="BZ149" i="1"/>
  <c r="CA149" i="1"/>
  <c r="CB149" i="1"/>
  <c r="CC149" i="1"/>
  <c r="CD149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BP150" i="1"/>
  <c r="BQ150" i="1"/>
  <c r="BR150" i="1"/>
  <c r="BS150" i="1"/>
  <c r="BT150" i="1"/>
  <c r="BU150" i="1"/>
  <c r="BV150" i="1"/>
  <c r="BW150" i="1"/>
  <c r="BX150" i="1"/>
  <c r="BY150" i="1"/>
  <c r="BZ150" i="1"/>
  <c r="CA150" i="1"/>
  <c r="CB150" i="1"/>
  <c r="CC150" i="1"/>
  <c r="CD150" i="1"/>
  <c r="J151" i="1"/>
  <c r="K151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W151" i="1"/>
  <c r="AX151" i="1"/>
  <c r="AY151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P151" i="1"/>
  <c r="BQ151" i="1"/>
  <c r="BR151" i="1"/>
  <c r="BS151" i="1"/>
  <c r="BT151" i="1"/>
  <c r="BU151" i="1"/>
  <c r="BV151" i="1"/>
  <c r="BW151" i="1"/>
  <c r="BX151" i="1"/>
  <c r="BY151" i="1"/>
  <c r="BZ151" i="1"/>
  <c r="CA151" i="1"/>
  <c r="CB151" i="1"/>
  <c r="CC151" i="1"/>
  <c r="CD151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AQ152" i="1"/>
  <c r="AR152" i="1"/>
  <c r="AS152" i="1"/>
  <c r="AT152" i="1"/>
  <c r="AU152" i="1"/>
  <c r="AV152" i="1"/>
  <c r="AW152" i="1"/>
  <c r="AX152" i="1"/>
  <c r="AY152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P152" i="1"/>
  <c r="BQ152" i="1"/>
  <c r="BR152" i="1"/>
  <c r="BS152" i="1"/>
  <c r="BT152" i="1"/>
  <c r="BU152" i="1"/>
  <c r="BV152" i="1"/>
  <c r="BW152" i="1"/>
  <c r="BX152" i="1"/>
  <c r="BY152" i="1"/>
  <c r="BZ152" i="1"/>
  <c r="CA152" i="1"/>
  <c r="CB152" i="1"/>
  <c r="CC152" i="1"/>
  <c r="CD152" i="1"/>
  <c r="J153" i="1"/>
  <c r="K153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AQ153" i="1"/>
  <c r="AR153" i="1"/>
  <c r="AS153" i="1"/>
  <c r="AT153" i="1"/>
  <c r="AU153" i="1"/>
  <c r="AV153" i="1"/>
  <c r="AW153" i="1"/>
  <c r="AX153" i="1"/>
  <c r="AY153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BN153" i="1"/>
  <c r="BO153" i="1"/>
  <c r="BP153" i="1"/>
  <c r="BQ153" i="1"/>
  <c r="BR153" i="1"/>
  <c r="BS153" i="1"/>
  <c r="BT153" i="1"/>
  <c r="BU153" i="1"/>
  <c r="BV153" i="1"/>
  <c r="BW153" i="1"/>
  <c r="BX153" i="1"/>
  <c r="BY153" i="1"/>
  <c r="BZ153" i="1"/>
  <c r="CA153" i="1"/>
  <c r="CB153" i="1"/>
  <c r="CC153" i="1"/>
  <c r="CD153" i="1"/>
  <c r="J154" i="1"/>
  <c r="K154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AQ154" i="1"/>
  <c r="AR154" i="1"/>
  <c r="AS154" i="1"/>
  <c r="AT154" i="1"/>
  <c r="AU154" i="1"/>
  <c r="AV154" i="1"/>
  <c r="AW154" i="1"/>
  <c r="AX154" i="1"/>
  <c r="AY154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BN154" i="1"/>
  <c r="BO154" i="1"/>
  <c r="BP154" i="1"/>
  <c r="BQ154" i="1"/>
  <c r="BR154" i="1"/>
  <c r="BS154" i="1"/>
  <c r="BT154" i="1"/>
  <c r="BU154" i="1"/>
  <c r="BV154" i="1"/>
  <c r="BW154" i="1"/>
  <c r="BX154" i="1"/>
  <c r="BY154" i="1"/>
  <c r="BZ154" i="1"/>
  <c r="CA154" i="1"/>
  <c r="CB154" i="1"/>
  <c r="CC154" i="1"/>
  <c r="CD154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W155" i="1"/>
  <c r="AX155" i="1"/>
  <c r="AY155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BN155" i="1"/>
  <c r="BO155" i="1"/>
  <c r="BP155" i="1"/>
  <c r="BQ155" i="1"/>
  <c r="BR155" i="1"/>
  <c r="BS155" i="1"/>
  <c r="BT155" i="1"/>
  <c r="BU155" i="1"/>
  <c r="BV155" i="1"/>
  <c r="BW155" i="1"/>
  <c r="BX155" i="1"/>
  <c r="BY155" i="1"/>
  <c r="BZ155" i="1"/>
  <c r="CA155" i="1"/>
  <c r="CB155" i="1"/>
  <c r="CC155" i="1"/>
  <c r="CD155" i="1"/>
  <c r="J156" i="1"/>
  <c r="K156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AQ156" i="1"/>
  <c r="AR156" i="1"/>
  <c r="AS156" i="1"/>
  <c r="AT156" i="1"/>
  <c r="AU156" i="1"/>
  <c r="AV156" i="1"/>
  <c r="AW156" i="1"/>
  <c r="AX156" i="1"/>
  <c r="AY156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BN156" i="1"/>
  <c r="BO156" i="1"/>
  <c r="BP156" i="1"/>
  <c r="BQ156" i="1"/>
  <c r="BR156" i="1"/>
  <c r="BS156" i="1"/>
  <c r="BT156" i="1"/>
  <c r="BU156" i="1"/>
  <c r="BV156" i="1"/>
  <c r="BW156" i="1"/>
  <c r="BX156" i="1"/>
  <c r="BY156" i="1"/>
  <c r="BZ156" i="1"/>
  <c r="CA156" i="1"/>
  <c r="CB156" i="1"/>
  <c r="CC156" i="1"/>
  <c r="CD156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83" i="1"/>
  <c r="FE84" i="1"/>
  <c r="FE85" i="1"/>
  <c r="FE86" i="1"/>
  <c r="FE87" i="1"/>
  <c r="FE88" i="1"/>
  <c r="FE89" i="1"/>
  <c r="FE90" i="1"/>
  <c r="FE91" i="1"/>
  <c r="FE92" i="1"/>
  <c r="FE93" i="1"/>
  <c r="FE94" i="1"/>
  <c r="FE95" i="1"/>
  <c r="FE96" i="1"/>
  <c r="FE97" i="1"/>
  <c r="FE98" i="1"/>
  <c r="FE99" i="1"/>
  <c r="FE100" i="1"/>
  <c r="FE101" i="1"/>
  <c r="FE102" i="1"/>
  <c r="FE103" i="1"/>
  <c r="FE104" i="1"/>
  <c r="FE105" i="1"/>
  <c r="FE106" i="1"/>
  <c r="FE107" i="1"/>
  <c r="FE108" i="1"/>
  <c r="FE109" i="1"/>
  <c r="FE110" i="1"/>
  <c r="FE111" i="1"/>
  <c r="FE112" i="1"/>
  <c r="FE113" i="1"/>
  <c r="FE114" i="1"/>
  <c r="FE115" i="1"/>
  <c r="FE116" i="1"/>
  <c r="FE117" i="1"/>
  <c r="FE118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1" i="1"/>
  <c r="FE132" i="1"/>
  <c r="FE133" i="1"/>
  <c r="FE134" i="1"/>
  <c r="FE135" i="1"/>
  <c r="FE136" i="1"/>
  <c r="FE137" i="1"/>
  <c r="FE138" i="1"/>
  <c r="FE139" i="1"/>
  <c r="FE140" i="1"/>
  <c r="FE141" i="1"/>
  <c r="FE142" i="1"/>
  <c r="FE143" i="1"/>
  <c r="FE144" i="1"/>
  <c r="FE145" i="1"/>
  <c r="FE146" i="1"/>
  <c r="FE147" i="1"/>
  <c r="FE148" i="1"/>
  <c r="FE149" i="1"/>
  <c r="FE150" i="1"/>
  <c r="FE151" i="1"/>
  <c r="FE152" i="1"/>
  <c r="FE153" i="1"/>
  <c r="FE154" i="1"/>
  <c r="FE155" i="1"/>
  <c r="FE156" i="1"/>
  <c r="FE83" i="1"/>
  <c r="CJ157" i="1"/>
  <c r="FF84" i="1" s="1"/>
  <c r="CK157" i="1"/>
  <c r="FF85" i="1" s="1"/>
  <c r="CL157" i="1"/>
  <c r="FF86" i="1" s="1"/>
  <c r="CM157" i="1"/>
  <c r="FF87" i="1" s="1"/>
  <c r="CN157" i="1"/>
  <c r="FF88" i="1" s="1"/>
  <c r="CO157" i="1"/>
  <c r="FF89" i="1" s="1"/>
  <c r="CP157" i="1"/>
  <c r="FF90" i="1" s="1"/>
  <c r="CQ157" i="1"/>
  <c r="FF91" i="1" s="1"/>
  <c r="CR157" i="1"/>
  <c r="FF92" i="1" s="1"/>
  <c r="CS157" i="1"/>
  <c r="FF93" i="1" s="1"/>
  <c r="CT157" i="1"/>
  <c r="FF94" i="1" s="1"/>
  <c r="CU157" i="1"/>
  <c r="FF95" i="1" s="1"/>
  <c r="CV157" i="1"/>
  <c r="FF96" i="1" s="1"/>
  <c r="CW157" i="1"/>
  <c r="FF97" i="1" s="1"/>
  <c r="CX157" i="1"/>
  <c r="FF98" i="1" s="1"/>
  <c r="CY157" i="1"/>
  <c r="FF99" i="1" s="1"/>
  <c r="CZ157" i="1"/>
  <c r="FF100" i="1" s="1"/>
  <c r="DA157" i="1"/>
  <c r="FF101" i="1" s="1"/>
  <c r="DB157" i="1"/>
  <c r="FF102" i="1" s="1"/>
  <c r="DC157" i="1"/>
  <c r="FF103" i="1" s="1"/>
  <c r="DD157" i="1"/>
  <c r="FF104" i="1" s="1"/>
  <c r="DE157" i="1"/>
  <c r="FF105" i="1" s="1"/>
  <c r="DF157" i="1"/>
  <c r="FF106" i="1" s="1"/>
  <c r="DG157" i="1"/>
  <c r="FF107" i="1" s="1"/>
  <c r="DH157" i="1"/>
  <c r="FF108" i="1" s="1"/>
  <c r="DI157" i="1"/>
  <c r="FF109" i="1" s="1"/>
  <c r="DJ157" i="1"/>
  <c r="FF110" i="1" s="1"/>
  <c r="DK157" i="1"/>
  <c r="FF111" i="1" s="1"/>
  <c r="DL157" i="1"/>
  <c r="FF112" i="1" s="1"/>
  <c r="DM157" i="1"/>
  <c r="FF113" i="1" s="1"/>
  <c r="DN157" i="1"/>
  <c r="FF114" i="1" s="1"/>
  <c r="DO157" i="1"/>
  <c r="FF115" i="1" s="1"/>
  <c r="DP157" i="1"/>
  <c r="FF116" i="1" s="1"/>
  <c r="DQ157" i="1"/>
  <c r="FF117" i="1" s="1"/>
  <c r="DR157" i="1"/>
  <c r="FF118" i="1" s="1"/>
  <c r="DS157" i="1"/>
  <c r="FF119" i="1" s="1"/>
  <c r="DT157" i="1"/>
  <c r="FF120" i="1" s="1"/>
  <c r="DU157" i="1"/>
  <c r="FF121" i="1" s="1"/>
  <c r="DV157" i="1"/>
  <c r="FF122" i="1" s="1"/>
  <c r="DW157" i="1"/>
  <c r="FF123" i="1" s="1"/>
  <c r="DX157" i="1"/>
  <c r="FF124" i="1" s="1"/>
  <c r="DY157" i="1"/>
  <c r="FF125" i="1" s="1"/>
  <c r="DZ157" i="1"/>
  <c r="FF126" i="1" s="1"/>
  <c r="EA157" i="1"/>
  <c r="FF127" i="1" s="1"/>
  <c r="EB157" i="1"/>
  <c r="FF128" i="1" s="1"/>
  <c r="EC157" i="1"/>
  <c r="FF129" i="1" s="1"/>
  <c r="ED157" i="1"/>
  <c r="FF130" i="1" s="1"/>
  <c r="EE157" i="1"/>
  <c r="FF131" i="1" s="1"/>
  <c r="EF157" i="1"/>
  <c r="FF132" i="1" s="1"/>
  <c r="EG157" i="1"/>
  <c r="FF133" i="1" s="1"/>
  <c r="EH157" i="1"/>
  <c r="FF134" i="1" s="1"/>
  <c r="EI157" i="1"/>
  <c r="FF135" i="1" s="1"/>
  <c r="EJ157" i="1"/>
  <c r="FF136" i="1" s="1"/>
  <c r="EK157" i="1"/>
  <c r="FF137" i="1" s="1"/>
  <c r="EL157" i="1"/>
  <c r="FF138" i="1" s="1"/>
  <c r="EM157" i="1"/>
  <c r="FF139" i="1" s="1"/>
  <c r="EN157" i="1"/>
  <c r="FF140" i="1" s="1"/>
  <c r="EO157" i="1"/>
  <c r="FF141" i="1" s="1"/>
  <c r="EP157" i="1"/>
  <c r="FF142" i="1" s="1"/>
  <c r="EQ157" i="1"/>
  <c r="FF143" i="1" s="1"/>
  <c r="ER157" i="1"/>
  <c r="FF144" i="1" s="1"/>
  <c r="ES157" i="1"/>
  <c r="FF145" i="1" s="1"/>
  <c r="ET157" i="1"/>
  <c r="FF146" i="1" s="1"/>
  <c r="EU157" i="1"/>
  <c r="FF147" i="1" s="1"/>
  <c r="EV157" i="1"/>
  <c r="FF148" i="1" s="1"/>
  <c r="EW157" i="1"/>
  <c r="FF149" i="1" s="1"/>
  <c r="EX157" i="1"/>
  <c r="FF150" i="1" s="1"/>
  <c r="EY157" i="1"/>
  <c r="FF151" i="1" s="1"/>
  <c r="EZ157" i="1"/>
  <c r="FF152" i="1" s="1"/>
  <c r="FA157" i="1"/>
  <c r="FF153" i="1" s="1"/>
  <c r="FB157" i="1"/>
  <c r="FF154" i="1" s="1"/>
  <c r="FC157" i="1"/>
  <c r="FF155" i="1" s="1"/>
  <c r="FD157" i="1"/>
  <c r="FF156" i="1" s="1"/>
  <c r="CI157" i="1"/>
  <c r="FF83" i="1" s="1"/>
  <c r="FE5" i="1"/>
  <c r="FE6" i="1"/>
  <c r="FE7" i="1"/>
  <c r="FE8" i="1"/>
  <c r="FE9" i="1"/>
  <c r="FE10" i="1"/>
  <c r="FE11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3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E66" i="1"/>
  <c r="FE67" i="1"/>
  <c r="FE68" i="1"/>
  <c r="FE69" i="1"/>
  <c r="FE70" i="1"/>
  <c r="FE71" i="1"/>
  <c r="FE72" i="1"/>
  <c r="FE73" i="1"/>
  <c r="FE74" i="1"/>
  <c r="FE75" i="1"/>
  <c r="FE76" i="1"/>
  <c r="FE77" i="1"/>
  <c r="FE4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EB78" i="1"/>
  <c r="EC78" i="1"/>
  <c r="ED78" i="1"/>
  <c r="EE78" i="1"/>
  <c r="EF78" i="1"/>
  <c r="EG78" i="1"/>
  <c r="EH78" i="1"/>
  <c r="EI78" i="1"/>
  <c r="EJ78" i="1"/>
  <c r="EK78" i="1"/>
  <c r="EL78" i="1"/>
  <c r="EM78" i="1"/>
  <c r="EN78" i="1"/>
  <c r="EO78" i="1"/>
  <c r="EP78" i="1"/>
  <c r="EQ78" i="1"/>
  <c r="ER78" i="1"/>
  <c r="ES78" i="1"/>
  <c r="ET78" i="1"/>
  <c r="EU78" i="1"/>
  <c r="EV78" i="1"/>
  <c r="EW78" i="1"/>
  <c r="EX78" i="1"/>
  <c r="EY78" i="1"/>
  <c r="EZ78" i="1"/>
  <c r="FA78" i="1"/>
  <c r="FB78" i="1"/>
  <c r="FC78" i="1"/>
  <c r="FD78" i="1"/>
  <c r="CI78" i="1"/>
  <c r="CD6" i="1"/>
  <c r="CE6" i="1"/>
  <c r="CF6" i="1"/>
  <c r="CD7" i="1"/>
  <c r="CE7" i="1"/>
  <c r="CF7" i="1"/>
  <c r="CD8" i="1"/>
  <c r="CE8" i="1"/>
  <c r="CF8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N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N11" i="1"/>
  <c r="O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N12" i="1"/>
  <c r="O12" i="1"/>
  <c r="P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N13" i="1"/>
  <c r="O13" i="1"/>
  <c r="P13" i="1"/>
  <c r="Q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N14" i="1"/>
  <c r="O14" i="1"/>
  <c r="P14" i="1"/>
  <c r="Q14" i="1"/>
  <c r="R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N15" i="1"/>
  <c r="O15" i="1"/>
  <c r="P15" i="1"/>
  <c r="Q15" i="1"/>
  <c r="R15" i="1"/>
  <c r="S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N16" i="1"/>
  <c r="O16" i="1"/>
  <c r="P16" i="1"/>
  <c r="Q16" i="1"/>
  <c r="R16" i="1"/>
  <c r="S16" i="1"/>
  <c r="T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N17" i="1"/>
  <c r="O17" i="1"/>
  <c r="P17" i="1"/>
  <c r="Q17" i="1"/>
  <c r="R17" i="1"/>
  <c r="S17" i="1"/>
  <c r="T17" i="1"/>
  <c r="U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N18" i="1"/>
  <c r="O18" i="1"/>
  <c r="P18" i="1"/>
  <c r="Q18" i="1"/>
  <c r="R18" i="1"/>
  <c r="S18" i="1"/>
  <c r="T18" i="1"/>
  <c r="U18" i="1"/>
  <c r="V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N19" i="1"/>
  <c r="O19" i="1"/>
  <c r="P19" i="1"/>
  <c r="Q19" i="1"/>
  <c r="R19" i="1"/>
  <c r="S19" i="1"/>
  <c r="T19" i="1"/>
  <c r="U19" i="1"/>
  <c r="V19" i="1"/>
  <c r="W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N20" i="1"/>
  <c r="O20" i="1"/>
  <c r="P20" i="1"/>
  <c r="Q20" i="1"/>
  <c r="R20" i="1"/>
  <c r="S20" i="1"/>
  <c r="T20" i="1"/>
  <c r="U20" i="1"/>
  <c r="V20" i="1"/>
  <c r="W20" i="1"/>
  <c r="X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N21" i="1"/>
  <c r="O21" i="1"/>
  <c r="P21" i="1"/>
  <c r="Q21" i="1"/>
  <c r="R21" i="1"/>
  <c r="S21" i="1"/>
  <c r="T21" i="1"/>
  <c r="U21" i="1"/>
  <c r="V21" i="1"/>
  <c r="W21" i="1"/>
  <c r="X21" i="1"/>
  <c r="Y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V68" i="1"/>
  <c r="BW68" i="1"/>
  <c r="BX68" i="1"/>
  <c r="BY68" i="1"/>
  <c r="BZ68" i="1"/>
  <c r="CA68" i="1"/>
  <c r="CB68" i="1"/>
  <c r="CC68" i="1"/>
  <c r="CD68" i="1"/>
  <c r="CE68" i="1"/>
  <c r="CF68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W69" i="1"/>
  <c r="BX69" i="1"/>
  <c r="BY69" i="1"/>
  <c r="BZ69" i="1"/>
  <c r="CA69" i="1"/>
  <c r="CB69" i="1"/>
  <c r="CC69" i="1"/>
  <c r="CD69" i="1"/>
  <c r="CE69" i="1"/>
  <c r="CF69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X70" i="1"/>
  <c r="BY70" i="1"/>
  <c r="BZ70" i="1"/>
  <c r="CA70" i="1"/>
  <c r="CB70" i="1"/>
  <c r="CC70" i="1"/>
  <c r="CD70" i="1"/>
  <c r="CE70" i="1"/>
  <c r="CF70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Y71" i="1"/>
  <c r="BZ71" i="1"/>
  <c r="CA71" i="1"/>
  <c r="CB71" i="1"/>
  <c r="CC71" i="1"/>
  <c r="CD71" i="1"/>
  <c r="CE71" i="1"/>
  <c r="CF71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Z72" i="1"/>
  <c r="CA72" i="1"/>
  <c r="CB72" i="1"/>
  <c r="CC72" i="1"/>
  <c r="CD72" i="1"/>
  <c r="CE72" i="1"/>
  <c r="CF72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CA73" i="1"/>
  <c r="CB73" i="1"/>
  <c r="CC73" i="1"/>
  <c r="CD73" i="1"/>
  <c r="CE73" i="1"/>
  <c r="CF73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B74" i="1"/>
  <c r="CC74" i="1"/>
  <c r="CD74" i="1"/>
  <c r="CE74" i="1"/>
  <c r="CF74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C75" i="1"/>
  <c r="CD75" i="1"/>
  <c r="CE75" i="1"/>
  <c r="CF75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D76" i="1"/>
  <c r="CE76" i="1"/>
  <c r="CF76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E77" i="1"/>
  <c r="CF77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F78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4" i="1"/>
  <c r="K77" i="1"/>
  <c r="K78" i="1"/>
  <c r="K79" i="1"/>
  <c r="FG156" i="1" l="1"/>
  <c r="FG155" i="1"/>
  <c r="FG154" i="1"/>
  <c r="FG152" i="1"/>
  <c r="FG151" i="1"/>
  <c r="FG150" i="1"/>
  <c r="FG148" i="1"/>
  <c r="FG147" i="1"/>
  <c r="FG146" i="1"/>
  <c r="FG144" i="1"/>
  <c r="FG143" i="1"/>
  <c r="FG142" i="1"/>
  <c r="FG140" i="1"/>
  <c r="FG139" i="1"/>
  <c r="FG138" i="1"/>
  <c r="FG136" i="1"/>
  <c r="FG135" i="1"/>
  <c r="FG134" i="1"/>
  <c r="FG132" i="1"/>
  <c r="FG131" i="1"/>
  <c r="FG130" i="1"/>
  <c r="FG128" i="1"/>
  <c r="FG127" i="1"/>
  <c r="FG126" i="1"/>
  <c r="FG124" i="1"/>
  <c r="FG123" i="1"/>
  <c r="FG122" i="1"/>
  <c r="FG119" i="1"/>
  <c r="FG118" i="1"/>
  <c r="FG115" i="1"/>
  <c r="FG114" i="1"/>
  <c r="FG111" i="1"/>
  <c r="FG110" i="1"/>
  <c r="FG107" i="1"/>
  <c r="FG106" i="1"/>
  <c r="FG103" i="1"/>
  <c r="FG102" i="1"/>
  <c r="FG99" i="1"/>
  <c r="FG98" i="1"/>
  <c r="FG95" i="1"/>
  <c r="FG94" i="1"/>
  <c r="FG91" i="1"/>
  <c r="FG90" i="1"/>
  <c r="FG87" i="1"/>
  <c r="FG86" i="1"/>
  <c r="FG120" i="1"/>
  <c r="FG116" i="1"/>
  <c r="FG112" i="1"/>
  <c r="FG108" i="1"/>
  <c r="FG104" i="1"/>
  <c r="FG100" i="1"/>
  <c r="FG96" i="1"/>
  <c r="FG92" i="1"/>
  <c r="FG88" i="1"/>
  <c r="FG84" i="1"/>
  <c r="FG153" i="1"/>
  <c r="FG149" i="1"/>
  <c r="FG145" i="1"/>
  <c r="FG141" i="1"/>
  <c r="FG137" i="1"/>
  <c r="FG133" i="1"/>
  <c r="FG129" i="1"/>
  <c r="FG125" i="1"/>
  <c r="FG121" i="1"/>
  <c r="FG117" i="1"/>
  <c r="FG113" i="1"/>
  <c r="FG109" i="1"/>
  <c r="FG105" i="1"/>
  <c r="FG101" i="1"/>
  <c r="FG97" i="1"/>
  <c r="FG93" i="1"/>
  <c r="FG89" i="1"/>
  <c r="FG85" i="1"/>
</calcChain>
</file>

<file path=xl/sharedStrings.xml><?xml version="1.0" encoding="utf-8"?>
<sst xmlns="http://schemas.openxmlformats.org/spreadsheetml/2006/main" count="677" uniqueCount="159">
  <si>
    <t>Capacity</t>
  </si>
  <si>
    <t>Nbr Of Stop-Point</t>
  </si>
  <si>
    <t>Points</t>
  </si>
  <si>
    <t>Demande</t>
  </si>
  <si>
    <t>Point 1</t>
  </si>
  <si>
    <t>Point 2</t>
  </si>
  <si>
    <t>Point 3</t>
  </si>
  <si>
    <t>Point 4</t>
  </si>
  <si>
    <t>Distance Matrix</t>
  </si>
  <si>
    <t>Lij</t>
  </si>
  <si>
    <t>Fij</t>
  </si>
  <si>
    <t>Xij</t>
  </si>
  <si>
    <t>Fonction Objectif</t>
  </si>
  <si>
    <t>Point 5</t>
  </si>
  <si>
    <t>Tracks's Number</t>
  </si>
  <si>
    <t>Max Quantity</t>
  </si>
  <si>
    <t>Sidi Slimane</t>
  </si>
  <si>
    <t>LaÃ¢youne</t>
  </si>
  <si>
    <t>Boujdour</t>
  </si>
  <si>
    <t>Tarfaya</t>
  </si>
  <si>
    <t>Es-Semaraâ€‹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</si>
  <si>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</si>
  <si>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</si>
  <si>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</si>
  <si>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</si>
  <si>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</si>
  <si>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</si>
  <si>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</si>
  <si>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</si>
  <si>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</si>
  <si>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</si>
  <si>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</si>
  <si>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Point 17</t>
  </si>
  <si>
    <t>Point 18</t>
  </si>
  <si>
    <t>Point 19</t>
  </si>
  <si>
    <t>Point 20</t>
  </si>
  <si>
    <t>Point 21</t>
  </si>
  <si>
    <t>Point 22</t>
  </si>
  <si>
    <t>Point 23</t>
  </si>
  <si>
    <t>Point 24</t>
  </si>
  <si>
    <t>Point 25</t>
  </si>
  <si>
    <t>Point 26</t>
  </si>
  <si>
    <t>Point 27</t>
  </si>
  <si>
    <t>Point 28</t>
  </si>
  <si>
    <t>Point 29</t>
  </si>
  <si>
    <t>Point 30</t>
  </si>
  <si>
    <t>Point 31</t>
  </si>
  <si>
    <t>Point 32</t>
  </si>
  <si>
    <t>Point 33</t>
  </si>
  <si>
    <t>Point 34</t>
  </si>
  <si>
    <t>Point 35</t>
  </si>
  <si>
    <t>Point 36</t>
  </si>
  <si>
    <t>Point 37</t>
  </si>
  <si>
    <t>Point 38</t>
  </si>
  <si>
    <t>Point 39</t>
  </si>
  <si>
    <t>Point 40</t>
  </si>
  <si>
    <t>Point 41</t>
  </si>
  <si>
    <t>Point 42</t>
  </si>
  <si>
    <t>Point 43</t>
  </si>
  <si>
    <t>Point 44</t>
  </si>
  <si>
    <t>Point 45</t>
  </si>
  <si>
    <t>Point 46</t>
  </si>
  <si>
    <t>Point 47</t>
  </si>
  <si>
    <t>Point 48</t>
  </si>
  <si>
    <t>Point 49</t>
  </si>
  <si>
    <t>Point 50</t>
  </si>
  <si>
    <t>Point 51</t>
  </si>
  <si>
    <t>Point 52</t>
  </si>
  <si>
    <t>Point 53</t>
  </si>
  <si>
    <t>Point 54</t>
  </si>
  <si>
    <t>Point 55</t>
  </si>
  <si>
    <t>Point 56</t>
  </si>
  <si>
    <t>Point 57</t>
  </si>
  <si>
    <t>Point 58</t>
  </si>
  <si>
    <t>Point 59</t>
  </si>
  <si>
    <t>Point 60</t>
  </si>
  <si>
    <t>Point 61</t>
  </si>
  <si>
    <t>Point 62</t>
  </si>
  <si>
    <t>Point 63</t>
  </si>
  <si>
    <t>Point 64</t>
  </si>
  <si>
    <t>Point 65</t>
  </si>
  <si>
    <t>Point 66</t>
  </si>
  <si>
    <t>Point 67</t>
  </si>
  <si>
    <t>Point 68</t>
  </si>
  <si>
    <t>Point 69</t>
  </si>
  <si>
    <t>Point 70</t>
  </si>
  <si>
    <t>Point 71</t>
  </si>
  <si>
    <t>Point 72</t>
  </si>
  <si>
    <t>Point 73</t>
  </si>
  <si>
    <t>Point 74</t>
  </si>
  <si>
    <t>Oujda-Angad</t>
  </si>
  <si>
    <t>Nador</t>
  </si>
  <si>
    <t>Driouch</t>
  </si>
  <si>
    <t>Jerada</t>
  </si>
  <si>
    <t>Berkan</t>
  </si>
  <si>
    <t>Guercif</t>
  </si>
  <si>
    <t>Figuig</t>
  </si>
  <si>
    <t>Marrakech</t>
  </si>
  <si>
    <t>Chichaoua</t>
  </si>
  <si>
    <t>Al Haouz</t>
  </si>
  <si>
    <t>KelÃ¢a des Sraghna</t>
  </si>
  <si>
    <t>Essaouira</t>
  </si>
  <si>
    <t>Rehamna</t>
  </si>
  <si>
    <t>Safi</t>
  </si>
  <si>
    <t>Youssoufia</t>
  </si>
  <si>
    <t>Errachidia</t>
  </si>
  <si>
    <t>Ouarzazate</t>
  </si>
  <si>
    <t>Midelt</t>
  </si>
  <si>
    <t>Tinghir</t>
  </si>
  <si>
    <t>Zagoraâ€‹</t>
  </si>
  <si>
    <t>FÃ¨s</t>
  </si>
  <si>
    <t>MeknÃ¨s</t>
  </si>
  <si>
    <t>El Hajeb</t>
  </si>
  <si>
    <t>Ifrane</t>
  </si>
  <si>
    <t>Moulay Yacoub</t>
  </si>
  <si>
    <t>Sefrou</t>
  </si>
  <si>
    <t>Boulemane</t>
  </si>
  <si>
    <t>Taounate</t>
  </si>
  <si>
    <t>Taza</t>
  </si>
  <si>
    <t>Guelmim</t>
  </si>
  <si>
    <t>Assa-Zag</t>
  </si>
  <si>
    <t>Tan-Tan</t>
  </si>
  <si>
    <t>Sidi Ifni</t>
  </si>
  <si>
    <t>Tanger-Assilah</t>
  </si>
  <si>
    <t>M'diq-Fnideq</t>
  </si>
  <si>
    <t>TÃ©touan</t>
  </si>
  <si>
    <t>Fahs-Anjra</t>
  </si>
  <si>
    <t>Larache</t>
  </si>
  <si>
    <t>Al Hoceima</t>
  </si>
  <si>
    <t>Chefchaouen</t>
  </si>
  <si>
    <t>Ouazzane</t>
  </si>
  <si>
    <t>Agadir Ida-Ou-Tanane</t>
  </si>
  <si>
    <t>Inezgane-AÃ¯t Melloul</t>
  </si>
  <si>
    <t>Chtouka-AÃ¯t Baha</t>
  </si>
  <si>
    <t>Taroudannt</t>
  </si>
  <si>
    <t>Tiznit</t>
  </si>
  <si>
    <t>Tata</t>
  </si>
  <si>
    <t>Casablanca</t>
  </si>
  <si>
    <t>Mohammadia</t>
  </si>
  <si>
    <t>El Jadida</t>
  </si>
  <si>
    <t>Nouaceur</t>
  </si>
  <si>
    <t>MÃ©diouna</t>
  </si>
  <si>
    <t>Benslimane</t>
  </si>
  <si>
    <t>Berrechid</t>
  </si>
  <si>
    <t>Settat</t>
  </si>
  <si>
    <t>Sidi Bennour</t>
  </si>
  <si>
    <t>Oued Ed-Dahab</t>
  </si>
  <si>
    <t>Aousserdâ€‹</t>
  </si>
  <si>
    <t>BÃ©ni Mellal</t>
  </si>
  <si>
    <t>Azilal</t>
  </si>
  <si>
    <t>Fquih Ben Salah</t>
  </si>
  <si>
    <t>KhÃ©nifra</t>
  </si>
  <si>
    <t>Khouribgaâ€‹</t>
  </si>
  <si>
    <t>Rabat</t>
  </si>
  <si>
    <t>SalÃ©</t>
  </si>
  <si>
    <t>Skhirate-TÃ©mara</t>
  </si>
  <si>
    <t>KÃ©nitra</t>
  </si>
  <si>
    <t>KhÃ©misset</t>
  </si>
  <si>
    <t>Sidi Kacem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</si>
</sst>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0B4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4" borderId="1" xfId="0" applyFill="1" applyBorder="1"/>
    <xf numFmtId="0" fontId="0" fillId="2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" xfId="0" applyFill="1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F3F4D30-AB9E-4F0E-95CA-83185BD3F914}"/>
  </tableStyles>
  <colors>
    <mruColors>
      <color rgb="FFC6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Optimale Path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Sheet1!$I$6:$I$79</c:f>
              <c:numCache>
                <c:formatCode>General</c:formatCode>
                <c:ptCount val="74"/>
                <c:pt idx="0">
                  <c:v>34.668327599999998</c:v>
                </c:pt>
                <c:pt idx="1">
                  <c:v>35.207005799999997</c:v>
                </c:pt>
                <c:pt idx="2">
                  <c:v>34.976939999999999</c:v>
                </c:pt>
                <c:pt idx="3">
                  <c:v>34.310530999999997</c:v>
                </c:pt>
                <c:pt idx="4">
                  <c:v>34.926675500000002</c:v>
                </c:pt>
                <c:pt idx="5">
                  <c:v>34.225575999999997</c:v>
                </c:pt>
                <c:pt idx="6">
                  <c:v>32.705883999999998</c:v>
                </c:pt>
                <c:pt idx="7">
                  <c:v>31.6258257</c:v>
                </c:pt>
                <c:pt idx="8">
                  <c:v>31.5469033</c:v>
                </c:pt>
                <c:pt idx="9">
                  <c:v>31.512926700000001</c:v>
                </c:pt>
                <c:pt idx="10">
                  <c:v>32.05433</c:v>
                </c:pt>
                <c:pt idx="11">
                  <c:v>31.511828099999999</c:v>
                </c:pt>
                <c:pt idx="12">
                  <c:v>34.921333699999998</c:v>
                </c:pt>
                <c:pt idx="13">
                  <c:v>32.265077599999998</c:v>
                </c:pt>
                <c:pt idx="14">
                  <c:v>32.245801</c:v>
                </c:pt>
                <c:pt idx="15">
                  <c:v>31.929089000000001</c:v>
                </c:pt>
                <c:pt idx="16">
                  <c:v>30.920193000000001</c:v>
                </c:pt>
                <c:pt idx="17">
                  <c:v>32.680346999999998</c:v>
                </c:pt>
                <c:pt idx="18">
                  <c:v>31.521329999999999</c:v>
                </c:pt>
                <c:pt idx="19">
                  <c:v>30.328035</c:v>
                </c:pt>
                <c:pt idx="20">
                  <c:v>34.034653400000003</c:v>
                </c:pt>
                <c:pt idx="21">
                  <c:v>33.897877000000001</c:v>
                </c:pt>
                <c:pt idx="22">
                  <c:v>33.698751549999997</c:v>
                </c:pt>
                <c:pt idx="23">
                  <c:v>33.527605000000001</c:v>
                </c:pt>
                <c:pt idx="24">
                  <c:v>34.087468000000001</c:v>
                </c:pt>
                <c:pt idx="25">
                  <c:v>33.824897999999997</c:v>
                </c:pt>
                <c:pt idx="26">
                  <c:v>33.363795799999998</c:v>
                </c:pt>
                <c:pt idx="27">
                  <c:v>34.538476000000003</c:v>
                </c:pt>
                <c:pt idx="28">
                  <c:v>34.230155000000003</c:v>
                </c:pt>
                <c:pt idx="29">
                  <c:v>28.986385200000001</c:v>
                </c:pt>
                <c:pt idx="30">
                  <c:v>27.413725100000001</c:v>
                </c:pt>
                <c:pt idx="31">
                  <c:v>28.437553000000001</c:v>
                </c:pt>
                <c:pt idx="32">
                  <c:v>29.379125299999998</c:v>
                </c:pt>
                <c:pt idx="33">
                  <c:v>35.777434100000001</c:v>
                </c:pt>
                <c:pt idx="34">
                  <c:v>35.683359799999998</c:v>
                </c:pt>
                <c:pt idx="35">
                  <c:v>35.570174999999999</c:v>
                </c:pt>
                <c:pt idx="36">
                  <c:v>35.758900050000001</c:v>
                </c:pt>
                <c:pt idx="37">
                  <c:v>35.195232699999998</c:v>
                </c:pt>
                <c:pt idx="38">
                  <c:v>35.245114000000001</c:v>
                </c:pt>
                <c:pt idx="39">
                  <c:v>35.170083200000001</c:v>
                </c:pt>
                <c:pt idx="40">
                  <c:v>34.796756999999999</c:v>
                </c:pt>
                <c:pt idx="41">
                  <c:v>30.420949199999999</c:v>
                </c:pt>
                <c:pt idx="42">
                  <c:v>30.3562929</c:v>
                </c:pt>
                <c:pt idx="43">
                  <c:v>30.008060149999999</c:v>
                </c:pt>
                <c:pt idx="44">
                  <c:v>30.471943400000001</c:v>
                </c:pt>
                <c:pt idx="45">
                  <c:v>29.698623999999999</c:v>
                </c:pt>
                <c:pt idx="46">
                  <c:v>29.746392</c:v>
                </c:pt>
                <c:pt idx="47">
                  <c:v>33.594514400000001</c:v>
                </c:pt>
                <c:pt idx="48">
                  <c:v>33.695838299999998</c:v>
                </c:pt>
                <c:pt idx="49">
                  <c:v>33.2336952</c:v>
                </c:pt>
                <c:pt idx="50">
                  <c:v>33.379465000000003</c:v>
                </c:pt>
                <c:pt idx="51">
                  <c:v>33.456251000000002</c:v>
                </c:pt>
                <c:pt idx="52">
                  <c:v>33.616870899999903</c:v>
                </c:pt>
                <c:pt idx="53">
                  <c:v>33.267674599999999</c:v>
                </c:pt>
                <c:pt idx="54">
                  <c:v>33.002397000000002</c:v>
                </c:pt>
                <c:pt idx="55">
                  <c:v>32.650779200000002</c:v>
                </c:pt>
                <c:pt idx="56">
                  <c:v>23.283709999999999</c:v>
                </c:pt>
                <c:pt idx="57">
                  <c:v>22.072414500000001</c:v>
                </c:pt>
                <c:pt idx="58">
                  <c:v>32.334192999999999</c:v>
                </c:pt>
                <c:pt idx="59">
                  <c:v>31.870226200000001</c:v>
                </c:pt>
                <c:pt idx="60">
                  <c:v>32.509831649999903</c:v>
                </c:pt>
                <c:pt idx="61">
                  <c:v>32.935771799999998</c:v>
                </c:pt>
                <c:pt idx="62">
                  <c:v>32.885508000000002</c:v>
                </c:pt>
                <c:pt idx="63">
                  <c:v>34.022359999999999</c:v>
                </c:pt>
                <c:pt idx="64">
                  <c:v>34.044888999999998</c:v>
                </c:pt>
                <c:pt idx="65">
                  <c:v>33.74792995</c:v>
                </c:pt>
                <c:pt idx="66">
                  <c:v>34.264569999999999</c:v>
                </c:pt>
                <c:pt idx="67">
                  <c:v>33.830286999999998</c:v>
                </c:pt>
                <c:pt idx="68">
                  <c:v>34.226412000000003</c:v>
                </c:pt>
                <c:pt idx="69">
                  <c:v>34.259878</c:v>
                </c:pt>
                <c:pt idx="70">
                  <c:v>27.154512</c:v>
                </c:pt>
                <c:pt idx="71">
                  <c:v>26.126337800000002</c:v>
                </c:pt>
                <c:pt idx="72">
                  <c:v>27.940120400000001</c:v>
                </c:pt>
                <c:pt idx="73">
                  <c:v>26.74</c:v>
                </c:pt>
              </c:numCache>
            </c:numRef>
          </c:xVal>
          <c:yVal>
            <c:numRef>
              <c:f>Sheet1!$J$6:$J$79</c:f>
              <c:numCache>
                <c:formatCode>General</c:formatCode>
                <c:ptCount val="74"/>
                <c:pt idx="0">
                  <c:v>-2.0362448226773799</c:v>
                </c:pt>
                <c:pt idx="1">
                  <c:v>-2.9125472000000001</c:v>
                </c:pt>
                <c:pt idx="2">
                  <c:v>-3.3910049999999998</c:v>
                </c:pt>
                <c:pt idx="3">
                  <c:v>-2.1599789999999999</c:v>
                </c:pt>
                <c:pt idx="4">
                  <c:v>-2.3294087000000001</c:v>
                </c:pt>
                <c:pt idx="5">
                  <c:v>-3.3523450000000001</c:v>
                </c:pt>
                <c:pt idx="6">
                  <c:v>-2.6287658129870102</c:v>
                </c:pt>
                <c:pt idx="7">
                  <c:v>-7.9891607999999996</c:v>
                </c:pt>
                <c:pt idx="8">
                  <c:v>-8.7595462000000008</c:v>
                </c:pt>
                <c:pt idx="9">
                  <c:v>-9.7678788000000001</c:v>
                </c:pt>
                <c:pt idx="10">
                  <c:v>-7.4067600000000002</c:v>
                </c:pt>
                <c:pt idx="11">
                  <c:v>-9.7620903000000006</c:v>
                </c:pt>
                <c:pt idx="12">
                  <c:v>-2.1460313000000002</c:v>
                </c:pt>
                <c:pt idx="13">
                  <c:v>-9.2305540325306605</c:v>
                </c:pt>
                <c:pt idx="14">
                  <c:v>-8.5324390000000001</c:v>
                </c:pt>
                <c:pt idx="15">
                  <c:v>-4.4340807</c:v>
                </c:pt>
                <c:pt idx="16">
                  <c:v>-6.9109230000000004</c:v>
                </c:pt>
                <c:pt idx="17">
                  <c:v>-4.739897</c:v>
                </c:pt>
                <c:pt idx="18">
                  <c:v>-5.5311640000000004</c:v>
                </c:pt>
                <c:pt idx="19">
                  <c:v>-5.8371389999999996</c:v>
                </c:pt>
                <c:pt idx="20">
                  <c:v>-5.0161926000000001</c:v>
                </c:pt>
                <c:pt idx="21">
                  <c:v>-5.5320345</c:v>
                </c:pt>
                <c:pt idx="22">
                  <c:v>-5.4928593107677104</c:v>
                </c:pt>
                <c:pt idx="23">
                  <c:v>-5.1074080000000004</c:v>
                </c:pt>
                <c:pt idx="24">
                  <c:v>-5.1794349999999998</c:v>
                </c:pt>
                <c:pt idx="25">
                  <c:v>-4.8333360000000001</c:v>
                </c:pt>
                <c:pt idx="26">
                  <c:v>-4.72957502174763</c:v>
                </c:pt>
                <c:pt idx="27">
                  <c:v>-4.6359940000000002</c:v>
                </c:pt>
                <c:pt idx="28">
                  <c:v>-4.0101040000000001</c:v>
                </c:pt>
                <c:pt idx="29">
                  <c:v>-10.057435099999999</c:v>
                </c:pt>
                <c:pt idx="30">
                  <c:v>-9.0496748</c:v>
                </c:pt>
                <c:pt idx="31">
                  <c:v>-11.098663999999999</c:v>
                </c:pt>
                <c:pt idx="32">
                  <c:v>-10.1715632</c:v>
                </c:pt>
                <c:pt idx="33">
                  <c:v>-5.8032309</c:v>
                </c:pt>
                <c:pt idx="34">
                  <c:v>-5.3232160999999998</c:v>
                </c:pt>
                <c:pt idx="35">
                  <c:v>-5.3742776000000001</c:v>
                </c:pt>
                <c:pt idx="36">
                  <c:v>-5.6520578169223104</c:v>
                </c:pt>
                <c:pt idx="37">
                  <c:v>-6.1529129999999999</c:v>
                </c:pt>
                <c:pt idx="38">
                  <c:v>-3.930186</c:v>
                </c:pt>
                <c:pt idx="39">
                  <c:v>-5.2766582971063896</c:v>
                </c:pt>
                <c:pt idx="40">
                  <c:v>-5.5784929999999999</c:v>
                </c:pt>
                <c:pt idx="41">
                  <c:v>-9.6044298000000001</c:v>
                </c:pt>
                <c:pt idx="42">
                  <c:v>-9.5459347000000001</c:v>
                </c:pt>
                <c:pt idx="43">
                  <c:v>-9.3334412508485691</c:v>
                </c:pt>
                <c:pt idx="44">
                  <c:v>-8.8669276000000004</c:v>
                </c:pt>
                <c:pt idx="45">
                  <c:v>-9.7312814999999997</c:v>
                </c:pt>
                <c:pt idx="46">
                  <c:v>-7.9696050999999999</c:v>
                </c:pt>
                <c:pt idx="47">
                  <c:v>-7.6200283999999998</c:v>
                </c:pt>
                <c:pt idx="48">
                  <c:v>-7.3893291999999997</c:v>
                </c:pt>
                <c:pt idx="49">
                  <c:v>-8.5004248007416603</c:v>
                </c:pt>
                <c:pt idx="50">
                  <c:v>-7.6189140000000002</c:v>
                </c:pt>
                <c:pt idx="51">
                  <c:v>-7.5194400000000003</c:v>
                </c:pt>
                <c:pt idx="52">
                  <c:v>-7.1230360422331502</c:v>
                </c:pt>
                <c:pt idx="53">
                  <c:v>-7.5811465</c:v>
                </c:pt>
                <c:pt idx="54">
                  <c:v>-7.6198670000000002</c:v>
                </c:pt>
                <c:pt idx="55">
                  <c:v>-8.4242086999999994</c:v>
                </c:pt>
                <c:pt idx="56">
                  <c:v>-15.020262199999999</c:v>
                </c:pt>
                <c:pt idx="57">
                  <c:v>-14.445243230159999</c:v>
                </c:pt>
                <c:pt idx="58">
                  <c:v>-6.3533350000000004</c:v>
                </c:pt>
                <c:pt idx="59">
                  <c:v>-6.4322478721500298</c:v>
                </c:pt>
                <c:pt idx="60">
                  <c:v>-6.8545211743695402</c:v>
                </c:pt>
                <c:pt idx="61">
                  <c:v>-5.6696504000000001</c:v>
                </c:pt>
                <c:pt idx="62">
                  <c:v>-6.9092380000000002</c:v>
                </c:pt>
                <c:pt idx="63">
                  <c:v>-6.8340221999999997</c:v>
                </c:pt>
                <c:pt idx="64">
                  <c:v>-6.8140169999999998</c:v>
                </c:pt>
                <c:pt idx="65">
                  <c:v>-6.8792204474033296</c:v>
                </c:pt>
                <c:pt idx="66">
                  <c:v>-6.5701689999999999</c:v>
                </c:pt>
                <c:pt idx="67">
                  <c:v>-6.0726050000000003</c:v>
                </c:pt>
                <c:pt idx="68">
                  <c:v>-5.7114339999999997</c:v>
                </c:pt>
                <c:pt idx="69">
                  <c:v>-5.9272530000000003</c:v>
                </c:pt>
                <c:pt idx="70">
                  <c:v>-13.195392099999999</c:v>
                </c:pt>
                <c:pt idx="71">
                  <c:v>-14.4836537</c:v>
                </c:pt>
                <c:pt idx="72">
                  <c:v>-12.9249934</c:v>
                </c:pt>
                <c:pt idx="73">
                  <c:v>-11.67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BE-46EE-A9C3-9ECE4A0F66E5}"/>
            </c:ext>
          </c:extLst>
        </c:ser>
        <c:ser>
          <c:idx val="1"/>
          <c:order val="1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(Sheet1!$I$6,Sheet1!$I$7)</c:f>
              <c:numCache>
                <c:formatCode>General</c:formatCode>
                <c:ptCount val="2"/>
                <c:pt idx="0">
                  <c:v>34.668327599999998</c:v>
                </c:pt>
                <c:pt idx="1">
                  <c:v>35.207005799999997</c:v>
                </c:pt>
              </c:numCache>
            </c:numRef>
          </c:xVal>
          <c:yVal>
            <c:numRef>
              <c:f>(Sheet1!$J$6,Sheet1!$J$7)</c:f>
              <c:numCache>
                <c:formatCode>General</c:formatCode>
                <c:ptCount val="2"/>
                <c:pt idx="0">
                  <c:v>-2.0362448226773799</c:v>
                </c:pt>
                <c:pt idx="1">
                  <c:v>-2.9125472000000001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EBE-46EE-A9C3-9ECE4A0F66E5}"/>
            </c:ext>
          </c:extLst>
        </c:ser>
        <c:ser>
          <c:idx val="2"/>
          <c:order val="2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(Sheet1!$I$6,Sheet1!$I$8)</c:f>
              <c:numCache>
                <c:formatCode>General</c:formatCode>
                <c:ptCount val="2"/>
                <c:pt idx="0">
                  <c:v>34.668327599999998</c:v>
                </c:pt>
                <c:pt idx="1">
                  <c:v>34.976939999999999</c:v>
                </c:pt>
              </c:numCache>
            </c:numRef>
          </c:xVal>
          <c:yVal>
            <c:numRef>
              <c:f>(Sheet1!$J$6,Sheet1!$J$8)</c:f>
              <c:numCache>
                <c:formatCode>General</c:formatCode>
                <c:ptCount val="2"/>
                <c:pt idx="0">
                  <c:v>-2.0362448226773799</c:v>
                </c:pt>
                <c:pt idx="1">
                  <c:v>-3.3910049999999998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EBE-46EE-A9C3-9ECE4A0F66E5}"/>
            </c:ext>
          </c:extLst>
        </c:ser>
        <c:ser>
          <c:idx val="3"/>
          <c:order val="3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(Sheet1!$I$6,Sheet1!$I$9)</c:f>
              <c:numCache>
                <c:formatCode>General</c:formatCode>
                <c:ptCount val="2"/>
                <c:pt idx="0">
                  <c:v>34.668327599999998</c:v>
                </c:pt>
                <c:pt idx="1">
                  <c:v>34.310530999999997</c:v>
                </c:pt>
              </c:numCache>
            </c:numRef>
          </c:xVal>
          <c:yVal>
            <c:numRef>
              <c:f>(Sheet1!$J$6,Sheet1!$J$9)</c:f>
              <c:numCache>
                <c:formatCode>General</c:formatCode>
                <c:ptCount val="2"/>
                <c:pt idx="0">
                  <c:v>-2.0362448226773799</c:v>
                </c:pt>
                <c:pt idx="1">
                  <c:v>-2.1599789999999999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EBE-46EE-A9C3-9ECE4A0F66E5}"/>
            </c:ext>
          </c:extLst>
        </c:ser>
        <c:ser>
          <c:idx val="4"/>
          <c:order val="4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(Sheet1!$I$6,Sheet1!$I$23)</c:f>
              <c:numCache>
                <c:formatCode>General</c:formatCode>
                <c:ptCount val="2"/>
                <c:pt idx="0">
                  <c:v>34.668327599999998</c:v>
                </c:pt>
                <c:pt idx="1">
                  <c:v>32.680346999999998</c:v>
                </c:pt>
              </c:numCache>
            </c:numRef>
          </c:xVal>
          <c:yVal>
            <c:numRef>
              <c:f>(Sheet1!$J$6,Sheet1!$J$23)</c:f>
              <c:numCache>
                <c:formatCode>General</c:formatCode>
                <c:ptCount val="2"/>
                <c:pt idx="0">
                  <c:v>-2.0362448226773799</c:v>
                </c:pt>
                <c:pt idx="1">
                  <c:v>-4.739897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EBE-46EE-A9C3-9ECE4A0F66E5}"/>
            </c:ext>
          </c:extLst>
        </c:ser>
        <c:ser>
          <c:idx val="5"/>
          <c:order val="5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(Sheet1!$I$6,Sheet1!$I$26)</c:f>
              <c:numCache>
                <c:formatCode>General</c:formatCode>
                <c:ptCount val="2"/>
                <c:pt idx="0">
                  <c:v>34.668327599999998</c:v>
                </c:pt>
                <c:pt idx="1">
                  <c:v>34.034653400000003</c:v>
                </c:pt>
              </c:numCache>
            </c:numRef>
          </c:xVal>
          <c:yVal>
            <c:numRef>
              <c:f>(Sheet1!$J$6,Sheet1!$J$26)</c:f>
              <c:numCache>
                <c:formatCode>General</c:formatCode>
                <c:ptCount val="2"/>
                <c:pt idx="0">
                  <c:v>-2.0362448226773799</c:v>
                </c:pt>
                <c:pt idx="1">
                  <c:v>-5.0161926000000001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EBE-46EE-A9C3-9ECE4A0F66E5}"/>
            </c:ext>
          </c:extLst>
        </c:ser>
        <c:ser>
          <c:idx val="6"/>
          <c:order val="6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(Sheet1!$I$6,Sheet1!$I$30)</c:f>
              <c:numCache>
                <c:formatCode>General</c:formatCode>
                <c:ptCount val="2"/>
                <c:pt idx="0">
                  <c:v>34.668327599999998</c:v>
                </c:pt>
                <c:pt idx="1">
                  <c:v>34.087468000000001</c:v>
                </c:pt>
              </c:numCache>
            </c:numRef>
          </c:xVal>
          <c:yVal>
            <c:numRef>
              <c:f>(Sheet1!$J$6,Sheet1!$J$30)</c:f>
              <c:numCache>
                <c:formatCode>General</c:formatCode>
                <c:ptCount val="2"/>
                <c:pt idx="0">
                  <c:v>-2.0362448226773799</c:v>
                </c:pt>
                <c:pt idx="1">
                  <c:v>-5.1794349999999998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EBE-46EE-A9C3-9ECE4A0F66E5}"/>
            </c:ext>
          </c:extLst>
        </c:ser>
        <c:ser>
          <c:idx val="7"/>
          <c:order val="7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(Sheet1!$I$6,Sheet1!$I$31)</c:f>
              <c:numCache>
                <c:formatCode>General</c:formatCode>
                <c:ptCount val="2"/>
                <c:pt idx="0">
                  <c:v>34.668327599999998</c:v>
                </c:pt>
                <c:pt idx="1">
                  <c:v>33.824897999999997</c:v>
                </c:pt>
              </c:numCache>
            </c:numRef>
          </c:xVal>
          <c:yVal>
            <c:numRef>
              <c:f>(Sheet1!$J$6,Sheet1!$J$31)</c:f>
              <c:numCache>
                <c:formatCode>General</c:formatCode>
                <c:ptCount val="2"/>
                <c:pt idx="0">
                  <c:v>-2.0362448226773799</c:v>
                </c:pt>
                <c:pt idx="1">
                  <c:v>-4.8333360000000001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EBE-46EE-A9C3-9ECE4A0F66E5}"/>
            </c:ext>
          </c:extLst>
        </c:ser>
        <c:ser>
          <c:idx val="8"/>
          <c:order val="8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(Sheet1!$I$6,Sheet1!$I$34)</c:f>
              <c:numCache>
                <c:formatCode>General</c:formatCode>
                <c:ptCount val="2"/>
                <c:pt idx="0">
                  <c:v>34.668327599999998</c:v>
                </c:pt>
                <c:pt idx="1">
                  <c:v>34.230155000000003</c:v>
                </c:pt>
              </c:numCache>
            </c:numRef>
          </c:xVal>
          <c:yVal>
            <c:numRef>
              <c:f>(Sheet1!$J$6,Sheet1!$J$34)</c:f>
              <c:numCache>
                <c:formatCode>General</c:formatCode>
                <c:ptCount val="2"/>
                <c:pt idx="0">
                  <c:v>-2.0362448226773799</c:v>
                </c:pt>
                <c:pt idx="1">
                  <c:v>-4.0101040000000001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EBE-46EE-A9C3-9ECE4A0F66E5}"/>
            </c:ext>
          </c:extLst>
        </c:ser>
        <c:ser>
          <c:idx val="9"/>
          <c:order val="9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(Sheet1!$I$6,Sheet1!$I$66)</c:f>
              <c:numCache>
                <c:formatCode>General</c:formatCode>
                <c:ptCount val="2"/>
                <c:pt idx="0">
                  <c:v>34.668327599999998</c:v>
                </c:pt>
                <c:pt idx="1">
                  <c:v>32.509831649999903</c:v>
                </c:pt>
              </c:numCache>
            </c:numRef>
          </c:xVal>
          <c:yVal>
            <c:numRef>
              <c:f>(Sheet1!$J$6,Sheet1!$J$66)</c:f>
              <c:numCache>
                <c:formatCode>General</c:formatCode>
                <c:ptCount val="2"/>
                <c:pt idx="0">
                  <c:v>-2.0362448226773799</c:v>
                </c:pt>
                <c:pt idx="1">
                  <c:v>-6.8545211743695402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EBE-46EE-A9C3-9ECE4A0F66E5}"/>
            </c:ext>
          </c:extLst>
        </c:ser>
        <c:ser>
          <c:idx val="10"/>
          <c:order val="10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(Sheet1!$I$6,Sheet1!$I$67)</c:f>
              <c:numCache>
                <c:formatCode>General</c:formatCode>
                <c:ptCount val="2"/>
                <c:pt idx="0">
                  <c:v>34.668327599999998</c:v>
                </c:pt>
                <c:pt idx="1">
                  <c:v>32.935771799999998</c:v>
                </c:pt>
              </c:numCache>
            </c:numRef>
          </c:xVal>
          <c:yVal>
            <c:numRef>
              <c:f>(Sheet1!$J$6,Sheet1!$J$67)</c:f>
              <c:numCache>
                <c:formatCode>General</c:formatCode>
                <c:ptCount val="2"/>
                <c:pt idx="0">
                  <c:v>-2.0362448226773799</c:v>
                </c:pt>
                <c:pt idx="1">
                  <c:v>-5.6696504000000001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EBE-46EE-A9C3-9ECE4A0F66E5}"/>
            </c:ext>
          </c:extLst>
        </c:ser>
        <c:ser>
          <c:idx val="11"/>
          <c:order val="11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(Sheet1!$I$7,Sheet1!$I$40)</c:f>
              <c:numCache>
                <c:formatCode>General</c:formatCode>
                <c:ptCount val="2"/>
                <c:pt idx="0">
                  <c:v>35.207005799999997</c:v>
                </c:pt>
                <c:pt idx="1">
                  <c:v>35.683359799999998</c:v>
                </c:pt>
              </c:numCache>
            </c:numRef>
          </c:xVal>
          <c:yVal>
            <c:numRef>
              <c:f>(Sheet1!$J$7,Sheet1!$J$40)</c:f>
              <c:numCache>
                <c:formatCode>General</c:formatCode>
                <c:ptCount val="2"/>
                <c:pt idx="0">
                  <c:v>-2.9125472000000001</c:v>
                </c:pt>
                <c:pt idx="1">
                  <c:v>-5.3232160999999998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EBE-46EE-A9C3-9ECE4A0F66E5}"/>
            </c:ext>
          </c:extLst>
        </c:ser>
        <c:ser>
          <c:idx val="12"/>
          <c:order val="12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(Sheet1!$I$8,Sheet1!$I$44)</c:f>
              <c:numCache>
                <c:formatCode>General</c:formatCode>
                <c:ptCount val="2"/>
                <c:pt idx="0">
                  <c:v>34.976939999999999</c:v>
                </c:pt>
                <c:pt idx="1">
                  <c:v>35.245114000000001</c:v>
                </c:pt>
              </c:numCache>
            </c:numRef>
          </c:xVal>
          <c:yVal>
            <c:numRef>
              <c:f>(Sheet1!$J$8,Sheet1!$J$44)</c:f>
              <c:numCache>
                <c:formatCode>General</c:formatCode>
                <c:ptCount val="2"/>
                <c:pt idx="0">
                  <c:v>-3.3910049999999998</c:v>
                </c:pt>
                <c:pt idx="1">
                  <c:v>-3.930186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EBE-46EE-A9C3-9ECE4A0F66E5}"/>
            </c:ext>
          </c:extLst>
        </c:ser>
        <c:ser>
          <c:idx val="13"/>
          <c:order val="13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(Sheet1!$I$9,Sheet1!$I$6)</c:f>
              <c:numCache>
                <c:formatCode>General</c:formatCode>
                <c:ptCount val="2"/>
                <c:pt idx="0">
                  <c:v>34.310530999999997</c:v>
                </c:pt>
                <c:pt idx="1">
                  <c:v>34.668327599999998</c:v>
                </c:pt>
              </c:numCache>
            </c:numRef>
          </c:xVal>
          <c:yVal>
            <c:numRef>
              <c:f>(Sheet1!$J$9,Sheet1!$J$6)</c:f>
              <c:numCache>
                <c:formatCode>General</c:formatCode>
                <c:ptCount val="2"/>
                <c:pt idx="0">
                  <c:v>-2.1599789999999999</c:v>
                </c:pt>
                <c:pt idx="1">
                  <c:v>-2.0362448226773799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EBE-46EE-A9C3-9ECE4A0F66E5}"/>
            </c:ext>
          </c:extLst>
        </c:ser>
        <c:ser>
          <c:idx val="14"/>
          <c:order val="14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(Sheet1!$I$10,Sheet1!$I$6)</c:f>
              <c:numCache>
                <c:formatCode>General</c:formatCode>
                <c:ptCount val="2"/>
                <c:pt idx="0">
                  <c:v>34.926675500000002</c:v>
                </c:pt>
                <c:pt idx="1">
                  <c:v>34.668327599999998</c:v>
                </c:pt>
              </c:numCache>
            </c:numRef>
          </c:xVal>
          <c:yVal>
            <c:numRef>
              <c:f>(Sheet1!$J$10,Sheet1!$J$6)</c:f>
              <c:numCache>
                <c:formatCode>General</c:formatCode>
                <c:ptCount val="2"/>
                <c:pt idx="0">
                  <c:v>-2.3294087000000001</c:v>
                </c:pt>
                <c:pt idx="1">
                  <c:v>-2.0362448226773799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EBE-46EE-A9C3-9ECE4A0F66E5}"/>
            </c:ext>
          </c:extLst>
        </c:ser>
        <c:ser>
          <c:idx val="15"/>
          <c:order val="15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(Sheet1!$I$11,Sheet1!$I$6)</c:f>
              <c:numCache>
                <c:formatCode>General</c:formatCode>
                <c:ptCount val="2"/>
                <c:pt idx="0">
                  <c:v>34.225575999999997</c:v>
                </c:pt>
                <c:pt idx="1">
                  <c:v>34.668327599999998</c:v>
                </c:pt>
              </c:numCache>
            </c:numRef>
          </c:xVal>
          <c:yVal>
            <c:numRef>
              <c:f>(Sheet1!$J$11,Sheet1!$J$6)</c:f>
              <c:numCache>
                <c:formatCode>General</c:formatCode>
                <c:ptCount val="2"/>
                <c:pt idx="0">
                  <c:v>-3.3523450000000001</c:v>
                </c:pt>
                <c:pt idx="1">
                  <c:v>-2.0362448226773799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EBE-46EE-A9C3-9ECE4A0F66E5}"/>
            </c:ext>
          </c:extLst>
        </c:ser>
        <c:ser>
          <c:idx val="16"/>
          <c:order val="16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(Sheet1!$I$12,Sheet1!$I$21)</c:f>
              <c:numCache>
                <c:formatCode>General</c:formatCode>
                <c:ptCount val="2"/>
                <c:pt idx="0">
                  <c:v>32.705883999999998</c:v>
                </c:pt>
                <c:pt idx="1">
                  <c:v>31.929089000000001</c:v>
                </c:pt>
              </c:numCache>
            </c:numRef>
          </c:xVal>
          <c:yVal>
            <c:numRef>
              <c:f>(Sheet1!$J$12,Sheet1!$J$21)</c:f>
              <c:numCache>
                <c:formatCode>General</c:formatCode>
                <c:ptCount val="2"/>
                <c:pt idx="0">
                  <c:v>-2.6287658129870102</c:v>
                </c:pt>
                <c:pt idx="1">
                  <c:v>-4.4340807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EBE-46EE-A9C3-9ECE4A0F66E5}"/>
            </c:ext>
          </c:extLst>
        </c:ser>
        <c:ser>
          <c:idx val="17"/>
          <c:order val="17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(Sheet1!$I$13,Sheet1!$I$64)</c:f>
              <c:numCache>
                <c:formatCode>General</c:formatCode>
                <c:ptCount val="2"/>
                <c:pt idx="0">
                  <c:v>31.6258257</c:v>
                </c:pt>
                <c:pt idx="1">
                  <c:v>32.334192999999999</c:v>
                </c:pt>
              </c:numCache>
            </c:numRef>
          </c:xVal>
          <c:yVal>
            <c:numRef>
              <c:f>(Sheet1!$J$13,Sheet1!$J$64)</c:f>
              <c:numCache>
                <c:formatCode>General</c:formatCode>
                <c:ptCount val="2"/>
                <c:pt idx="0">
                  <c:v>-7.9891607999999996</c:v>
                </c:pt>
                <c:pt idx="1">
                  <c:v>-6.3533350000000004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EBE-46EE-A9C3-9ECE4A0F66E5}"/>
            </c:ext>
          </c:extLst>
        </c:ser>
        <c:ser>
          <c:idx val="18"/>
          <c:order val="18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(Sheet1!$I$14,Sheet1!$I$19)</c:f>
              <c:numCache>
                <c:formatCode>General</c:formatCode>
                <c:ptCount val="2"/>
                <c:pt idx="0">
                  <c:v>31.5469033</c:v>
                </c:pt>
                <c:pt idx="1">
                  <c:v>32.265077599999998</c:v>
                </c:pt>
              </c:numCache>
            </c:numRef>
          </c:xVal>
          <c:yVal>
            <c:numRef>
              <c:f>(Sheet1!$J$14,Sheet1!$J$19)</c:f>
              <c:numCache>
                <c:formatCode>General</c:formatCode>
                <c:ptCount val="2"/>
                <c:pt idx="0">
                  <c:v>-8.7595462000000008</c:v>
                </c:pt>
                <c:pt idx="1">
                  <c:v>-9.2305540325306605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EBE-46EE-A9C3-9ECE4A0F66E5}"/>
            </c:ext>
          </c:extLst>
        </c:ser>
        <c:ser>
          <c:idx val="19"/>
          <c:order val="19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(Sheet1!$I$15,Sheet1!$I$17)</c:f>
              <c:numCache>
                <c:formatCode>General</c:formatCode>
                <c:ptCount val="2"/>
                <c:pt idx="0">
                  <c:v>31.512926700000001</c:v>
                </c:pt>
                <c:pt idx="1">
                  <c:v>31.511828099999999</c:v>
                </c:pt>
              </c:numCache>
            </c:numRef>
          </c:xVal>
          <c:yVal>
            <c:numRef>
              <c:f>(Sheet1!$J$15,Sheet1!$J$17)</c:f>
              <c:numCache>
                <c:formatCode>General</c:formatCode>
                <c:ptCount val="2"/>
                <c:pt idx="0">
                  <c:v>-9.7678788000000001</c:v>
                </c:pt>
                <c:pt idx="1">
                  <c:v>-9.7620903000000006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EBE-46EE-A9C3-9ECE4A0F66E5}"/>
            </c:ext>
          </c:extLst>
        </c:ser>
        <c:ser>
          <c:idx val="20"/>
          <c:order val="20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(Sheet1!$I$16,Sheet1!$I$6)</c:f>
              <c:numCache>
                <c:formatCode>General</c:formatCode>
                <c:ptCount val="2"/>
                <c:pt idx="0">
                  <c:v>32.05433</c:v>
                </c:pt>
                <c:pt idx="1">
                  <c:v>34.668327599999998</c:v>
                </c:pt>
              </c:numCache>
            </c:numRef>
          </c:xVal>
          <c:yVal>
            <c:numRef>
              <c:f>(Sheet1!$J$16,Sheet1!$J$6)</c:f>
              <c:numCache>
                <c:formatCode>General</c:formatCode>
                <c:ptCount val="2"/>
                <c:pt idx="0">
                  <c:v>-7.4067600000000002</c:v>
                </c:pt>
                <c:pt idx="1">
                  <c:v>-2.0362448226773799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EBE-46EE-A9C3-9ECE4A0F66E5}"/>
            </c:ext>
          </c:extLst>
        </c:ser>
        <c:ser>
          <c:idx val="21"/>
          <c:order val="21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(Sheet1!$I$17,Sheet1!$I$13)</c:f>
              <c:numCache>
                <c:formatCode>General</c:formatCode>
                <c:ptCount val="2"/>
                <c:pt idx="0">
                  <c:v>31.511828099999999</c:v>
                </c:pt>
                <c:pt idx="1">
                  <c:v>31.6258257</c:v>
                </c:pt>
              </c:numCache>
            </c:numRef>
          </c:xVal>
          <c:yVal>
            <c:numRef>
              <c:f>(Sheet1!$J$17,Sheet1!$J$13)</c:f>
              <c:numCache>
                <c:formatCode>General</c:formatCode>
                <c:ptCount val="2"/>
                <c:pt idx="0">
                  <c:v>-9.7620903000000006</c:v>
                </c:pt>
                <c:pt idx="1">
                  <c:v>-7.9891607999999996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EBE-46EE-A9C3-9ECE4A0F66E5}"/>
            </c:ext>
          </c:extLst>
        </c:ser>
        <c:ser>
          <c:idx val="22"/>
          <c:order val="22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(Sheet1!$I$18,Sheet1!$I$6)</c:f>
              <c:numCache>
                <c:formatCode>General</c:formatCode>
                <c:ptCount val="2"/>
                <c:pt idx="0">
                  <c:v>34.921333699999998</c:v>
                </c:pt>
                <c:pt idx="1">
                  <c:v>34.668327599999998</c:v>
                </c:pt>
              </c:numCache>
            </c:numRef>
          </c:xVal>
          <c:yVal>
            <c:numRef>
              <c:f>(Sheet1!$J$18,Sheet1!$J$6)</c:f>
              <c:numCache>
                <c:formatCode>General</c:formatCode>
                <c:ptCount val="2"/>
                <c:pt idx="0">
                  <c:v>-2.1460313000000002</c:v>
                </c:pt>
                <c:pt idx="1">
                  <c:v>-2.0362448226773799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EBE-46EE-A9C3-9ECE4A0F66E5}"/>
            </c:ext>
          </c:extLst>
        </c:ser>
        <c:ser>
          <c:idx val="23"/>
          <c:order val="23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(Sheet1!$I$19,Sheet1!$I$61)</c:f>
              <c:numCache>
                <c:formatCode>General</c:formatCode>
                <c:ptCount val="2"/>
                <c:pt idx="0">
                  <c:v>32.265077599999998</c:v>
                </c:pt>
                <c:pt idx="1">
                  <c:v>32.650779200000002</c:v>
                </c:pt>
              </c:numCache>
            </c:numRef>
          </c:xVal>
          <c:yVal>
            <c:numRef>
              <c:f>(Sheet1!$J$19,Sheet1!$J$61)</c:f>
              <c:numCache>
                <c:formatCode>General</c:formatCode>
                <c:ptCount val="2"/>
                <c:pt idx="0">
                  <c:v>-9.2305540325306605</c:v>
                </c:pt>
                <c:pt idx="1">
                  <c:v>-8.4242086999999994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EBE-46EE-A9C3-9ECE4A0F66E5}"/>
            </c:ext>
          </c:extLst>
        </c:ser>
        <c:ser>
          <c:idx val="24"/>
          <c:order val="24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(Sheet1!$I$20,Sheet1!$I$14)</c:f>
              <c:numCache>
                <c:formatCode>General</c:formatCode>
                <c:ptCount val="2"/>
                <c:pt idx="0">
                  <c:v>32.245801</c:v>
                </c:pt>
                <c:pt idx="1">
                  <c:v>31.5469033</c:v>
                </c:pt>
              </c:numCache>
            </c:numRef>
          </c:xVal>
          <c:yVal>
            <c:numRef>
              <c:f>(Sheet1!$J$20,Sheet1!$J$14)</c:f>
              <c:numCache>
                <c:formatCode>General</c:formatCode>
                <c:ptCount val="2"/>
                <c:pt idx="0">
                  <c:v>-8.5324390000000001</c:v>
                </c:pt>
                <c:pt idx="1">
                  <c:v>-8.7595462000000008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EBE-46EE-A9C3-9ECE4A0F66E5}"/>
            </c:ext>
          </c:extLst>
        </c:ser>
        <c:ser>
          <c:idx val="25"/>
          <c:order val="25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(Sheet1!$I$21,Sheet1!$I$24)</c:f>
              <c:numCache>
                <c:formatCode>General</c:formatCode>
                <c:ptCount val="2"/>
                <c:pt idx="0">
                  <c:v>31.929089000000001</c:v>
                </c:pt>
                <c:pt idx="1">
                  <c:v>31.521329999999999</c:v>
                </c:pt>
              </c:numCache>
            </c:numRef>
          </c:xVal>
          <c:yVal>
            <c:numRef>
              <c:f>(Sheet1!$J$21,Sheet1!$J$24)</c:f>
              <c:numCache>
                <c:formatCode>General</c:formatCode>
                <c:ptCount val="2"/>
                <c:pt idx="0">
                  <c:v>-4.4340807</c:v>
                </c:pt>
                <c:pt idx="1">
                  <c:v>-5.5311640000000004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EBE-46EE-A9C3-9ECE4A0F66E5}"/>
            </c:ext>
          </c:extLst>
        </c:ser>
        <c:ser>
          <c:idx val="26"/>
          <c:order val="26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(Sheet1!$I$22,Sheet1!$I$6)</c:f>
              <c:numCache>
                <c:formatCode>General</c:formatCode>
                <c:ptCount val="2"/>
                <c:pt idx="0">
                  <c:v>30.920193000000001</c:v>
                </c:pt>
                <c:pt idx="1">
                  <c:v>34.668327599999998</c:v>
                </c:pt>
              </c:numCache>
            </c:numRef>
          </c:xVal>
          <c:yVal>
            <c:numRef>
              <c:f>(Sheet1!$J$22,Sheet1!$J$6)</c:f>
              <c:numCache>
                <c:formatCode>General</c:formatCode>
                <c:ptCount val="2"/>
                <c:pt idx="0">
                  <c:v>-6.9109230000000004</c:v>
                </c:pt>
                <c:pt idx="1">
                  <c:v>-2.0362448226773799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EBE-46EE-A9C3-9ECE4A0F66E5}"/>
            </c:ext>
          </c:extLst>
        </c:ser>
        <c:ser>
          <c:idx val="27"/>
          <c:order val="27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(Sheet1!$I$23,Sheet1!$I$68)</c:f>
              <c:numCache>
                <c:formatCode>General</c:formatCode>
                <c:ptCount val="2"/>
                <c:pt idx="0">
                  <c:v>32.680346999999998</c:v>
                </c:pt>
                <c:pt idx="1">
                  <c:v>32.885508000000002</c:v>
                </c:pt>
              </c:numCache>
            </c:numRef>
          </c:xVal>
          <c:yVal>
            <c:numRef>
              <c:f>(Sheet1!$J$23,Sheet1!$J$68)</c:f>
              <c:numCache>
                <c:formatCode>General</c:formatCode>
                <c:ptCount val="2"/>
                <c:pt idx="0">
                  <c:v>-4.739897</c:v>
                </c:pt>
                <c:pt idx="1">
                  <c:v>-6.9092380000000002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EBE-46EE-A9C3-9ECE4A0F66E5}"/>
            </c:ext>
          </c:extLst>
        </c:ser>
        <c:ser>
          <c:idx val="28"/>
          <c:order val="28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(Sheet1!$I$24,Sheet1!$I$73)</c:f>
              <c:numCache>
                <c:formatCode>General</c:formatCode>
                <c:ptCount val="2"/>
                <c:pt idx="0">
                  <c:v>31.521329999999999</c:v>
                </c:pt>
                <c:pt idx="1">
                  <c:v>33.830286999999998</c:v>
                </c:pt>
              </c:numCache>
            </c:numRef>
          </c:xVal>
          <c:yVal>
            <c:numRef>
              <c:f>(Sheet1!$J$24,Sheet1!$J$73)</c:f>
              <c:numCache>
                <c:formatCode>General</c:formatCode>
                <c:ptCount val="2"/>
                <c:pt idx="0">
                  <c:v>-5.5311640000000004</c:v>
                </c:pt>
                <c:pt idx="1">
                  <c:v>-6.0726050000000003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EBE-46EE-A9C3-9ECE4A0F66E5}"/>
            </c:ext>
          </c:extLst>
        </c:ser>
        <c:ser>
          <c:idx val="29"/>
          <c:order val="29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(Sheet1!$I$25,Sheet1!$I$6)</c:f>
              <c:numCache>
                <c:formatCode>General</c:formatCode>
                <c:ptCount val="2"/>
                <c:pt idx="0">
                  <c:v>30.328035</c:v>
                </c:pt>
                <c:pt idx="1">
                  <c:v>34.668327599999998</c:v>
                </c:pt>
              </c:numCache>
            </c:numRef>
          </c:xVal>
          <c:yVal>
            <c:numRef>
              <c:f>(Sheet1!$J$25,Sheet1!$J$6)</c:f>
              <c:numCache>
                <c:formatCode>General</c:formatCode>
                <c:ptCount val="2"/>
                <c:pt idx="0">
                  <c:v>-5.8371389999999996</c:v>
                </c:pt>
                <c:pt idx="1">
                  <c:v>-2.0362448226773799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EBE-46EE-A9C3-9ECE4A0F66E5}"/>
            </c:ext>
          </c:extLst>
        </c:ser>
        <c:ser>
          <c:idx val="30"/>
          <c:order val="30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(Sheet1!$I$26,Sheet1!$I$29)</c:f>
              <c:numCache>
                <c:formatCode>General</c:formatCode>
                <c:ptCount val="2"/>
                <c:pt idx="0">
                  <c:v>34.034653400000003</c:v>
                </c:pt>
                <c:pt idx="1">
                  <c:v>33.527605000000001</c:v>
                </c:pt>
              </c:numCache>
            </c:numRef>
          </c:xVal>
          <c:yVal>
            <c:numRef>
              <c:f>(Sheet1!$J$26,Sheet1!$J$29)</c:f>
              <c:numCache>
                <c:formatCode>General</c:formatCode>
                <c:ptCount val="2"/>
                <c:pt idx="0">
                  <c:v>-5.0161926000000001</c:v>
                </c:pt>
                <c:pt idx="1">
                  <c:v>-5.1074080000000004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EBE-46EE-A9C3-9ECE4A0F66E5}"/>
            </c:ext>
          </c:extLst>
        </c:ser>
        <c:ser>
          <c:idx val="31"/>
          <c:order val="31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(Sheet1!$I$27,Sheet1!$I$6)</c:f>
              <c:numCache>
                <c:formatCode>General</c:formatCode>
                <c:ptCount val="2"/>
                <c:pt idx="0">
                  <c:v>33.897877000000001</c:v>
                </c:pt>
                <c:pt idx="1">
                  <c:v>34.668327599999998</c:v>
                </c:pt>
              </c:numCache>
            </c:numRef>
          </c:xVal>
          <c:yVal>
            <c:numRef>
              <c:f>(Sheet1!$J$27,Sheet1!$J$6)</c:f>
              <c:numCache>
                <c:formatCode>General</c:formatCode>
                <c:ptCount val="2"/>
                <c:pt idx="0">
                  <c:v>-5.5320345</c:v>
                </c:pt>
                <c:pt idx="1">
                  <c:v>-2.0362448226773799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EBE-46EE-A9C3-9ECE4A0F66E5}"/>
            </c:ext>
          </c:extLst>
        </c:ser>
        <c:ser>
          <c:idx val="32"/>
          <c:order val="32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(Sheet1!$I$28,Sheet1!$I$27)</c:f>
              <c:numCache>
                <c:formatCode>General</c:formatCode>
                <c:ptCount val="2"/>
                <c:pt idx="0">
                  <c:v>33.698751549999997</c:v>
                </c:pt>
                <c:pt idx="1">
                  <c:v>33.897877000000001</c:v>
                </c:pt>
              </c:numCache>
            </c:numRef>
          </c:xVal>
          <c:yVal>
            <c:numRef>
              <c:f>(Sheet1!$J$28,Sheet1!$J$27)</c:f>
              <c:numCache>
                <c:formatCode>General</c:formatCode>
                <c:ptCount val="2"/>
                <c:pt idx="0">
                  <c:v>-5.4928593107677104</c:v>
                </c:pt>
                <c:pt idx="1">
                  <c:v>-5.5320345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EBE-46EE-A9C3-9ECE4A0F66E5}"/>
            </c:ext>
          </c:extLst>
        </c:ser>
        <c:ser>
          <c:idx val="33"/>
          <c:order val="33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(Sheet1!$I$29,Sheet1!$I$28)</c:f>
              <c:numCache>
                <c:formatCode>General</c:formatCode>
                <c:ptCount val="2"/>
                <c:pt idx="0">
                  <c:v>33.527605000000001</c:v>
                </c:pt>
                <c:pt idx="1">
                  <c:v>33.698751549999997</c:v>
                </c:pt>
              </c:numCache>
            </c:numRef>
          </c:xVal>
          <c:yVal>
            <c:numRef>
              <c:f>(Sheet1!$J$29,Sheet1!$J$28)</c:f>
              <c:numCache>
                <c:formatCode>General</c:formatCode>
                <c:ptCount val="2"/>
                <c:pt idx="0">
                  <c:v>-5.1074080000000004</c:v>
                </c:pt>
                <c:pt idx="1">
                  <c:v>-5.4928593107677104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EBE-46EE-A9C3-9ECE4A0F66E5}"/>
            </c:ext>
          </c:extLst>
        </c:ser>
        <c:ser>
          <c:idx val="34"/>
          <c:order val="34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(Sheet1!$I$30,Sheet1!$I$60)</c:f>
              <c:numCache>
                <c:formatCode>General</c:formatCode>
                <c:ptCount val="2"/>
                <c:pt idx="0">
                  <c:v>34.087468000000001</c:v>
                </c:pt>
                <c:pt idx="1">
                  <c:v>33.002397000000002</c:v>
                </c:pt>
              </c:numCache>
            </c:numRef>
          </c:xVal>
          <c:yVal>
            <c:numRef>
              <c:f>(Sheet1!$J$30,Sheet1!$J$60)</c:f>
              <c:numCache>
                <c:formatCode>General</c:formatCode>
                <c:ptCount val="2"/>
                <c:pt idx="0">
                  <c:v>-5.1794349999999998</c:v>
                </c:pt>
                <c:pt idx="1">
                  <c:v>-7.6198670000000002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EBE-46EE-A9C3-9ECE4A0F66E5}"/>
            </c:ext>
          </c:extLst>
        </c:ser>
        <c:ser>
          <c:idx val="35"/>
          <c:order val="35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(Sheet1!$I$31,Sheet1!$I$46)</c:f>
              <c:numCache>
                <c:formatCode>General</c:formatCode>
                <c:ptCount val="2"/>
                <c:pt idx="0">
                  <c:v>33.824897999999997</c:v>
                </c:pt>
                <c:pt idx="1">
                  <c:v>34.796756999999999</c:v>
                </c:pt>
              </c:numCache>
            </c:numRef>
          </c:xVal>
          <c:yVal>
            <c:numRef>
              <c:f>(Sheet1!$J$31,Sheet1!$J$46)</c:f>
              <c:numCache>
                <c:formatCode>General</c:formatCode>
                <c:ptCount val="2"/>
                <c:pt idx="0">
                  <c:v>-4.8333360000000001</c:v>
                </c:pt>
                <c:pt idx="1">
                  <c:v>-5.5784929999999999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EBE-46EE-A9C3-9ECE4A0F66E5}"/>
            </c:ext>
          </c:extLst>
        </c:ser>
        <c:ser>
          <c:idx val="36"/>
          <c:order val="36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(Sheet1!$I$32,Sheet1!$I$11)</c:f>
              <c:numCache>
                <c:formatCode>General</c:formatCode>
                <c:ptCount val="2"/>
                <c:pt idx="0">
                  <c:v>33.363795799999998</c:v>
                </c:pt>
                <c:pt idx="1">
                  <c:v>34.225575999999997</c:v>
                </c:pt>
              </c:numCache>
            </c:numRef>
          </c:xVal>
          <c:yVal>
            <c:numRef>
              <c:f>(Sheet1!$J$32,Sheet1!$J$11)</c:f>
              <c:numCache>
                <c:formatCode>General</c:formatCode>
                <c:ptCount val="2"/>
                <c:pt idx="0">
                  <c:v>-4.72957502174763</c:v>
                </c:pt>
                <c:pt idx="1">
                  <c:v>-3.3523450000000001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EBE-46EE-A9C3-9ECE4A0F66E5}"/>
            </c:ext>
          </c:extLst>
        </c:ser>
        <c:ser>
          <c:idx val="37"/>
          <c:order val="37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(Sheet1!$I$33,Sheet1!$I$10)</c:f>
              <c:numCache>
                <c:formatCode>General</c:formatCode>
                <c:ptCount val="2"/>
                <c:pt idx="0">
                  <c:v>34.538476000000003</c:v>
                </c:pt>
                <c:pt idx="1">
                  <c:v>34.926675500000002</c:v>
                </c:pt>
              </c:numCache>
            </c:numRef>
          </c:xVal>
          <c:yVal>
            <c:numRef>
              <c:f>(Sheet1!$J$33,Sheet1!$J$10)</c:f>
              <c:numCache>
                <c:formatCode>General</c:formatCode>
                <c:ptCount val="2"/>
                <c:pt idx="0">
                  <c:v>-4.6359940000000002</c:v>
                </c:pt>
                <c:pt idx="1">
                  <c:v>-2.3294087000000001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EBE-46EE-A9C3-9ECE4A0F66E5}"/>
            </c:ext>
          </c:extLst>
        </c:ser>
        <c:ser>
          <c:idx val="38"/>
          <c:order val="38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(Sheet1!$I$34,Sheet1!$I$36)</c:f>
              <c:numCache>
                <c:formatCode>General</c:formatCode>
                <c:ptCount val="2"/>
                <c:pt idx="0">
                  <c:v>34.230155000000003</c:v>
                </c:pt>
                <c:pt idx="1">
                  <c:v>27.413725100000001</c:v>
                </c:pt>
              </c:numCache>
            </c:numRef>
          </c:xVal>
          <c:yVal>
            <c:numRef>
              <c:f>(Sheet1!$J$34,Sheet1!$J$36)</c:f>
              <c:numCache>
                <c:formatCode>General</c:formatCode>
                <c:ptCount val="2"/>
                <c:pt idx="0">
                  <c:v>-4.0101040000000001</c:v>
                </c:pt>
                <c:pt idx="1">
                  <c:v>-9.0496748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EBE-46EE-A9C3-9ECE4A0F66E5}"/>
            </c:ext>
          </c:extLst>
        </c:ser>
        <c:ser>
          <c:idx val="39"/>
          <c:order val="39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(Sheet1!$I$35,Sheet1!$I$38)</c:f>
              <c:numCache>
                <c:formatCode>General</c:formatCode>
                <c:ptCount val="2"/>
                <c:pt idx="0">
                  <c:v>28.986385200000001</c:v>
                </c:pt>
                <c:pt idx="1">
                  <c:v>29.379125299999998</c:v>
                </c:pt>
              </c:numCache>
            </c:numRef>
          </c:xVal>
          <c:yVal>
            <c:numRef>
              <c:f>(Sheet1!$J$35,Sheet1!$J$38)</c:f>
              <c:numCache>
                <c:formatCode>General</c:formatCode>
                <c:ptCount val="2"/>
                <c:pt idx="0">
                  <c:v>-10.057435099999999</c:v>
                </c:pt>
                <c:pt idx="1">
                  <c:v>-10.1715632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EBE-46EE-A9C3-9ECE4A0F66E5}"/>
            </c:ext>
          </c:extLst>
        </c:ser>
        <c:ser>
          <c:idx val="40"/>
          <c:order val="40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(Sheet1!$I$36,Sheet1!$I$79)</c:f>
              <c:numCache>
                <c:formatCode>General</c:formatCode>
                <c:ptCount val="2"/>
                <c:pt idx="0">
                  <c:v>27.413725100000001</c:v>
                </c:pt>
                <c:pt idx="1">
                  <c:v>26.74</c:v>
                </c:pt>
              </c:numCache>
            </c:numRef>
          </c:xVal>
          <c:yVal>
            <c:numRef>
              <c:f>(Sheet1!$J$36,Sheet1!$J$79)</c:f>
              <c:numCache>
                <c:formatCode>General</c:formatCode>
                <c:ptCount val="2"/>
                <c:pt idx="0">
                  <c:v>-9.0496748</c:v>
                </c:pt>
                <c:pt idx="1">
                  <c:v>-11.67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EBE-46EE-A9C3-9ECE4A0F66E5}"/>
            </c:ext>
          </c:extLst>
        </c:ser>
        <c:ser>
          <c:idx val="41"/>
          <c:order val="41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(Sheet1!$I$37,Sheet1!$I$78)</c:f>
              <c:numCache>
                <c:formatCode>General</c:formatCode>
                <c:ptCount val="2"/>
                <c:pt idx="0">
                  <c:v>28.437553000000001</c:v>
                </c:pt>
                <c:pt idx="1">
                  <c:v>27.940120400000001</c:v>
                </c:pt>
              </c:numCache>
            </c:numRef>
          </c:xVal>
          <c:yVal>
            <c:numRef>
              <c:f>(Sheet1!$J$37,Sheet1!$J$78)</c:f>
              <c:numCache>
                <c:formatCode>General</c:formatCode>
                <c:ptCount val="2"/>
                <c:pt idx="0">
                  <c:v>-11.098663999999999</c:v>
                </c:pt>
                <c:pt idx="1">
                  <c:v>-12.9249934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EBE-46EE-A9C3-9ECE4A0F66E5}"/>
            </c:ext>
          </c:extLst>
        </c:ser>
        <c:ser>
          <c:idx val="42"/>
          <c:order val="42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(Sheet1!$I$38,Sheet1!$I$48)</c:f>
              <c:numCache>
                <c:formatCode>General</c:formatCode>
                <c:ptCount val="2"/>
                <c:pt idx="0">
                  <c:v>29.379125299999998</c:v>
                </c:pt>
                <c:pt idx="1">
                  <c:v>30.3562929</c:v>
                </c:pt>
              </c:numCache>
            </c:numRef>
          </c:xVal>
          <c:yVal>
            <c:numRef>
              <c:f>(Sheet1!$J$38,Sheet1!$J$48)</c:f>
              <c:numCache>
                <c:formatCode>General</c:formatCode>
                <c:ptCount val="2"/>
                <c:pt idx="0">
                  <c:v>-10.1715632</c:v>
                </c:pt>
                <c:pt idx="1">
                  <c:v>-9.5459347000000001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EBE-46EE-A9C3-9ECE4A0F66E5}"/>
            </c:ext>
          </c:extLst>
        </c:ser>
        <c:ser>
          <c:idx val="43"/>
          <c:order val="43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(Sheet1!$I$39,Sheet1!$I$45)</c:f>
              <c:numCache>
                <c:formatCode>General</c:formatCode>
                <c:ptCount val="2"/>
                <c:pt idx="0">
                  <c:v>35.777434100000001</c:v>
                </c:pt>
                <c:pt idx="1">
                  <c:v>35.170083200000001</c:v>
                </c:pt>
              </c:numCache>
            </c:numRef>
          </c:xVal>
          <c:yVal>
            <c:numRef>
              <c:f>(Sheet1!$J$39,Sheet1!$J$45)</c:f>
              <c:numCache>
                <c:formatCode>General</c:formatCode>
                <c:ptCount val="2"/>
                <c:pt idx="0">
                  <c:v>-5.8032309</c:v>
                </c:pt>
                <c:pt idx="1">
                  <c:v>-5.2766582971063896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EBE-46EE-A9C3-9ECE4A0F66E5}"/>
            </c:ext>
          </c:extLst>
        </c:ser>
        <c:ser>
          <c:idx val="44"/>
          <c:order val="44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(Sheet1!$I$40,Sheet1!$I$42)</c:f>
              <c:numCache>
                <c:formatCode>General</c:formatCode>
                <c:ptCount val="2"/>
                <c:pt idx="0">
                  <c:v>35.683359799999998</c:v>
                </c:pt>
                <c:pt idx="1">
                  <c:v>35.758900050000001</c:v>
                </c:pt>
              </c:numCache>
            </c:numRef>
          </c:xVal>
          <c:yVal>
            <c:numRef>
              <c:f>(Sheet1!$J$40,Sheet1!$J$42)</c:f>
              <c:numCache>
                <c:formatCode>General</c:formatCode>
                <c:ptCount val="2"/>
                <c:pt idx="0">
                  <c:v>-5.3232160999999998</c:v>
                </c:pt>
                <c:pt idx="1">
                  <c:v>-5.6520578169223104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EBE-46EE-A9C3-9ECE4A0F66E5}"/>
            </c:ext>
          </c:extLst>
        </c:ser>
        <c:ser>
          <c:idx val="45"/>
          <c:order val="45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(Sheet1!$I$41,Sheet1!$I$32)</c:f>
              <c:numCache>
                <c:formatCode>General</c:formatCode>
                <c:ptCount val="2"/>
                <c:pt idx="0">
                  <c:v>35.570174999999999</c:v>
                </c:pt>
                <c:pt idx="1">
                  <c:v>33.363795799999998</c:v>
                </c:pt>
              </c:numCache>
            </c:numRef>
          </c:xVal>
          <c:yVal>
            <c:numRef>
              <c:f>(Sheet1!$J$41,Sheet1!$J$32)</c:f>
              <c:numCache>
                <c:formatCode>General</c:formatCode>
                <c:ptCount val="2"/>
                <c:pt idx="0">
                  <c:v>-5.3742776000000001</c:v>
                </c:pt>
                <c:pt idx="1">
                  <c:v>-4.72957502174763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EBE-46EE-A9C3-9ECE4A0F66E5}"/>
            </c:ext>
          </c:extLst>
        </c:ser>
        <c:ser>
          <c:idx val="46"/>
          <c:order val="46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(Sheet1!$I$42,Sheet1!$I$39)</c:f>
              <c:numCache>
                <c:formatCode>General</c:formatCode>
                <c:ptCount val="2"/>
                <c:pt idx="0">
                  <c:v>35.758900050000001</c:v>
                </c:pt>
                <c:pt idx="1">
                  <c:v>35.777434100000001</c:v>
                </c:pt>
              </c:numCache>
            </c:numRef>
          </c:xVal>
          <c:yVal>
            <c:numRef>
              <c:f>(Sheet1!$J$42,Sheet1!$J$39)</c:f>
              <c:numCache>
                <c:formatCode>General</c:formatCode>
                <c:ptCount val="2"/>
                <c:pt idx="0">
                  <c:v>-5.6520578169223104</c:v>
                </c:pt>
                <c:pt idx="1">
                  <c:v>-5.8032309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EBE-46EE-A9C3-9ECE4A0F66E5}"/>
            </c:ext>
          </c:extLst>
        </c:ser>
        <c:ser>
          <c:idx val="47"/>
          <c:order val="47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(Sheet1!$I$43,Sheet1!$I$41)</c:f>
              <c:numCache>
                <c:formatCode>General</c:formatCode>
                <c:ptCount val="2"/>
                <c:pt idx="0">
                  <c:v>35.195232699999998</c:v>
                </c:pt>
                <c:pt idx="1">
                  <c:v>35.570174999999999</c:v>
                </c:pt>
              </c:numCache>
            </c:numRef>
          </c:xVal>
          <c:yVal>
            <c:numRef>
              <c:f>(Sheet1!$J$43,Sheet1!$J$41)</c:f>
              <c:numCache>
                <c:formatCode>General</c:formatCode>
                <c:ptCount val="2"/>
                <c:pt idx="0">
                  <c:v>-6.1529129999999999</c:v>
                </c:pt>
                <c:pt idx="1">
                  <c:v>-5.3742776000000001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EBE-46EE-A9C3-9ECE4A0F66E5}"/>
            </c:ext>
          </c:extLst>
        </c:ser>
        <c:ser>
          <c:idx val="48"/>
          <c:order val="48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(Sheet1!$I$44,Sheet1!$I$12)</c:f>
              <c:numCache>
                <c:formatCode>General</c:formatCode>
                <c:ptCount val="2"/>
                <c:pt idx="0">
                  <c:v>35.245114000000001</c:v>
                </c:pt>
                <c:pt idx="1">
                  <c:v>32.705883999999998</c:v>
                </c:pt>
              </c:numCache>
            </c:numRef>
          </c:xVal>
          <c:yVal>
            <c:numRef>
              <c:f>(Sheet1!$J$44,Sheet1!$J$12)</c:f>
              <c:numCache>
                <c:formatCode>General</c:formatCode>
                <c:ptCount val="2"/>
                <c:pt idx="0">
                  <c:v>-3.930186</c:v>
                </c:pt>
                <c:pt idx="1">
                  <c:v>-2.6287658129870102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EBE-46EE-A9C3-9ECE4A0F66E5}"/>
            </c:ext>
          </c:extLst>
        </c:ser>
        <c:ser>
          <c:idx val="49"/>
          <c:order val="49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(Sheet1!$I$45,Sheet1!$I$33)</c:f>
              <c:numCache>
                <c:formatCode>General</c:formatCode>
                <c:ptCount val="2"/>
                <c:pt idx="0">
                  <c:v>35.170083200000001</c:v>
                </c:pt>
                <c:pt idx="1">
                  <c:v>34.538476000000003</c:v>
                </c:pt>
              </c:numCache>
            </c:numRef>
          </c:xVal>
          <c:yVal>
            <c:numRef>
              <c:f>(Sheet1!$J$45,Sheet1!$J$33)</c:f>
              <c:numCache>
                <c:formatCode>General</c:formatCode>
                <c:ptCount val="2"/>
                <c:pt idx="0">
                  <c:v>-5.2766582971063896</c:v>
                </c:pt>
                <c:pt idx="1">
                  <c:v>-4.6359940000000002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EBE-46EE-A9C3-9ECE4A0F66E5}"/>
            </c:ext>
          </c:extLst>
        </c:ser>
        <c:ser>
          <c:idx val="50"/>
          <c:order val="50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(Sheet1!$I$46,Sheet1!$I$54)</c:f>
              <c:numCache>
                <c:formatCode>General</c:formatCode>
                <c:ptCount val="2"/>
                <c:pt idx="0">
                  <c:v>34.796756999999999</c:v>
                </c:pt>
                <c:pt idx="1">
                  <c:v>33.695838299999998</c:v>
                </c:pt>
              </c:numCache>
            </c:numRef>
          </c:xVal>
          <c:yVal>
            <c:numRef>
              <c:f>(Sheet1!$J$46,Sheet1!$J$54)</c:f>
              <c:numCache>
                <c:formatCode>General</c:formatCode>
                <c:ptCount val="2"/>
                <c:pt idx="0">
                  <c:v>-5.5784929999999999</c:v>
                </c:pt>
                <c:pt idx="1">
                  <c:v>-7.3893291999999997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EBE-46EE-A9C3-9ECE4A0F66E5}"/>
            </c:ext>
          </c:extLst>
        </c:ser>
        <c:ser>
          <c:idx val="51"/>
          <c:order val="51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(Sheet1!$I$47,Sheet1!$I$15)</c:f>
              <c:numCache>
                <c:formatCode>General</c:formatCode>
                <c:ptCount val="2"/>
                <c:pt idx="0">
                  <c:v>30.420949199999999</c:v>
                </c:pt>
                <c:pt idx="1">
                  <c:v>31.512926700000001</c:v>
                </c:pt>
              </c:numCache>
            </c:numRef>
          </c:xVal>
          <c:yVal>
            <c:numRef>
              <c:f>(Sheet1!$J$47,Sheet1!$J$15)</c:f>
              <c:numCache>
                <c:formatCode>General</c:formatCode>
                <c:ptCount val="2"/>
                <c:pt idx="0">
                  <c:v>-9.6044298000000001</c:v>
                </c:pt>
                <c:pt idx="1">
                  <c:v>-9.7678788000000001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EBE-46EE-A9C3-9ECE4A0F66E5}"/>
            </c:ext>
          </c:extLst>
        </c:ser>
        <c:ser>
          <c:idx val="52"/>
          <c:order val="52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(Sheet1!$I$48,Sheet1!$I$47)</c:f>
              <c:numCache>
                <c:formatCode>General</c:formatCode>
                <c:ptCount val="2"/>
                <c:pt idx="0">
                  <c:v>30.3562929</c:v>
                </c:pt>
                <c:pt idx="1">
                  <c:v>30.420949199999999</c:v>
                </c:pt>
              </c:numCache>
            </c:numRef>
          </c:xVal>
          <c:yVal>
            <c:numRef>
              <c:f>(Sheet1!$J$48,Sheet1!$J$47)</c:f>
              <c:numCache>
                <c:formatCode>General</c:formatCode>
                <c:ptCount val="2"/>
                <c:pt idx="0">
                  <c:v>-9.5459347000000001</c:v>
                </c:pt>
                <c:pt idx="1">
                  <c:v>-9.6044298000000001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EBE-46EE-A9C3-9ECE4A0F66E5}"/>
            </c:ext>
          </c:extLst>
        </c:ser>
        <c:ser>
          <c:idx val="53"/>
          <c:order val="53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(Sheet1!$I$49,Sheet1!$I$50)</c:f>
              <c:numCache>
                <c:formatCode>General</c:formatCode>
                <c:ptCount val="2"/>
                <c:pt idx="0">
                  <c:v>30.008060149999999</c:v>
                </c:pt>
                <c:pt idx="1">
                  <c:v>30.471943400000001</c:v>
                </c:pt>
              </c:numCache>
            </c:numRef>
          </c:xVal>
          <c:yVal>
            <c:numRef>
              <c:f>(Sheet1!$J$49,Sheet1!$J$50)</c:f>
              <c:numCache>
                <c:formatCode>General</c:formatCode>
                <c:ptCount val="2"/>
                <c:pt idx="0">
                  <c:v>-9.3334412508485691</c:v>
                </c:pt>
                <c:pt idx="1">
                  <c:v>-8.8669276000000004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EBE-46EE-A9C3-9ECE4A0F66E5}"/>
            </c:ext>
          </c:extLst>
        </c:ser>
        <c:ser>
          <c:idx val="54"/>
          <c:order val="54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(Sheet1!$I$50,Sheet1!$I$22)</c:f>
              <c:numCache>
                <c:formatCode>General</c:formatCode>
                <c:ptCount val="2"/>
                <c:pt idx="0">
                  <c:v>30.471943400000001</c:v>
                </c:pt>
                <c:pt idx="1">
                  <c:v>30.920193000000001</c:v>
                </c:pt>
              </c:numCache>
            </c:numRef>
          </c:xVal>
          <c:yVal>
            <c:numRef>
              <c:f>(Sheet1!$J$50,Sheet1!$J$22)</c:f>
              <c:numCache>
                <c:formatCode>General</c:formatCode>
                <c:ptCount val="2"/>
                <c:pt idx="0">
                  <c:v>-8.8669276000000004</c:v>
                </c:pt>
                <c:pt idx="1">
                  <c:v>-6.9109230000000004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EBE-46EE-A9C3-9ECE4A0F66E5}"/>
            </c:ext>
          </c:extLst>
        </c:ser>
        <c:ser>
          <c:idx val="55"/>
          <c:order val="55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(Sheet1!$I$51,Sheet1!$I$49)</c:f>
              <c:numCache>
                <c:formatCode>General</c:formatCode>
                <c:ptCount val="2"/>
                <c:pt idx="0">
                  <c:v>29.698623999999999</c:v>
                </c:pt>
                <c:pt idx="1">
                  <c:v>30.008060149999999</c:v>
                </c:pt>
              </c:numCache>
            </c:numRef>
          </c:xVal>
          <c:yVal>
            <c:numRef>
              <c:f>(Sheet1!$J$51,Sheet1!$J$49)</c:f>
              <c:numCache>
                <c:formatCode>General</c:formatCode>
                <c:ptCount val="2"/>
                <c:pt idx="0">
                  <c:v>-9.7312814999999997</c:v>
                </c:pt>
                <c:pt idx="1">
                  <c:v>-9.3334412508485691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0EBE-46EE-A9C3-9ECE4A0F66E5}"/>
            </c:ext>
          </c:extLst>
        </c:ser>
        <c:ser>
          <c:idx val="56"/>
          <c:order val="56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(Sheet1!$I$52,Sheet1!$I$37)</c:f>
              <c:numCache>
                <c:formatCode>General</c:formatCode>
                <c:ptCount val="2"/>
                <c:pt idx="0">
                  <c:v>29.746392</c:v>
                </c:pt>
                <c:pt idx="1">
                  <c:v>28.437553000000001</c:v>
                </c:pt>
              </c:numCache>
            </c:numRef>
          </c:xVal>
          <c:yVal>
            <c:numRef>
              <c:f>(Sheet1!$J$52,Sheet1!$J$37)</c:f>
              <c:numCache>
                <c:formatCode>General</c:formatCode>
                <c:ptCount val="2"/>
                <c:pt idx="0">
                  <c:v>-7.9696050999999999</c:v>
                </c:pt>
                <c:pt idx="1">
                  <c:v>-11.098663999999999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0EBE-46EE-A9C3-9ECE4A0F66E5}"/>
            </c:ext>
          </c:extLst>
        </c:ser>
        <c:ser>
          <c:idx val="57"/>
          <c:order val="57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(Sheet1!$I$53,Sheet1!$I$58)</c:f>
              <c:numCache>
                <c:formatCode>General</c:formatCode>
                <c:ptCount val="2"/>
                <c:pt idx="0">
                  <c:v>33.594514400000001</c:v>
                </c:pt>
                <c:pt idx="1">
                  <c:v>33.616870899999903</c:v>
                </c:pt>
              </c:numCache>
            </c:numRef>
          </c:xVal>
          <c:yVal>
            <c:numRef>
              <c:f>(Sheet1!$J$53,Sheet1!$J$58)</c:f>
              <c:numCache>
                <c:formatCode>General</c:formatCode>
                <c:ptCount val="2"/>
                <c:pt idx="0">
                  <c:v>-7.6200283999999998</c:v>
                </c:pt>
                <c:pt idx="1">
                  <c:v>-7.1230360422331502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0EBE-46EE-A9C3-9ECE4A0F66E5}"/>
            </c:ext>
          </c:extLst>
        </c:ser>
        <c:ser>
          <c:idx val="58"/>
          <c:order val="58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(Sheet1!$I$54,Sheet1!$I$70)</c:f>
              <c:numCache>
                <c:formatCode>General</c:formatCode>
                <c:ptCount val="2"/>
                <c:pt idx="0">
                  <c:v>33.695838299999998</c:v>
                </c:pt>
                <c:pt idx="1">
                  <c:v>34.044888999999998</c:v>
                </c:pt>
              </c:numCache>
            </c:numRef>
          </c:xVal>
          <c:yVal>
            <c:numRef>
              <c:f>(Sheet1!$J$54,Sheet1!$J$70)</c:f>
              <c:numCache>
                <c:formatCode>General</c:formatCode>
                <c:ptCount val="2"/>
                <c:pt idx="0">
                  <c:v>-7.3893291999999997</c:v>
                </c:pt>
                <c:pt idx="1">
                  <c:v>-6.8140169999999998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0EBE-46EE-A9C3-9ECE4A0F66E5}"/>
            </c:ext>
          </c:extLst>
        </c:ser>
        <c:ser>
          <c:idx val="59"/>
          <c:order val="59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(Sheet1!$I$55,Sheet1!$I$20)</c:f>
              <c:numCache>
                <c:formatCode>General</c:formatCode>
                <c:ptCount val="2"/>
                <c:pt idx="0">
                  <c:v>33.2336952</c:v>
                </c:pt>
                <c:pt idx="1">
                  <c:v>32.245801</c:v>
                </c:pt>
              </c:numCache>
            </c:numRef>
          </c:xVal>
          <c:yVal>
            <c:numRef>
              <c:f>(Sheet1!$J$55,Sheet1!$J$20)</c:f>
              <c:numCache>
                <c:formatCode>General</c:formatCode>
                <c:ptCount val="2"/>
                <c:pt idx="0">
                  <c:v>-8.5004248007416603</c:v>
                </c:pt>
                <c:pt idx="1">
                  <c:v>-8.5324390000000001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0EBE-46EE-A9C3-9ECE4A0F66E5}"/>
            </c:ext>
          </c:extLst>
        </c:ser>
        <c:ser>
          <c:idx val="60"/>
          <c:order val="60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(Sheet1!$I$56,Sheet1!$I$53)</c:f>
              <c:numCache>
                <c:formatCode>General</c:formatCode>
                <c:ptCount val="2"/>
                <c:pt idx="0">
                  <c:v>33.379465000000003</c:v>
                </c:pt>
                <c:pt idx="1">
                  <c:v>33.594514400000001</c:v>
                </c:pt>
              </c:numCache>
            </c:numRef>
          </c:xVal>
          <c:yVal>
            <c:numRef>
              <c:f>(Sheet1!$J$56,Sheet1!$J$53)</c:f>
              <c:numCache>
                <c:formatCode>General</c:formatCode>
                <c:ptCount val="2"/>
                <c:pt idx="0">
                  <c:v>-7.6189140000000002</c:v>
                </c:pt>
                <c:pt idx="1">
                  <c:v>-7.6200283999999998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0EBE-46EE-A9C3-9ECE4A0F66E5}"/>
            </c:ext>
          </c:extLst>
        </c:ser>
        <c:ser>
          <c:idx val="61"/>
          <c:order val="61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(Sheet1!$I$57,Sheet1!$I$71)</c:f>
              <c:numCache>
                <c:formatCode>General</c:formatCode>
                <c:ptCount val="2"/>
                <c:pt idx="0">
                  <c:v>33.456251000000002</c:v>
                </c:pt>
                <c:pt idx="1">
                  <c:v>33.74792995</c:v>
                </c:pt>
              </c:numCache>
            </c:numRef>
          </c:xVal>
          <c:yVal>
            <c:numRef>
              <c:f>(Sheet1!$J$57,Sheet1!$J$71)</c:f>
              <c:numCache>
                <c:formatCode>General</c:formatCode>
                <c:ptCount val="2"/>
                <c:pt idx="0">
                  <c:v>-7.5194400000000003</c:v>
                </c:pt>
                <c:pt idx="1">
                  <c:v>-6.8792204474033296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0EBE-46EE-A9C3-9ECE4A0F66E5}"/>
            </c:ext>
          </c:extLst>
        </c:ser>
        <c:ser>
          <c:idx val="62"/>
          <c:order val="62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(Sheet1!$I$58,Sheet1!$I$57)</c:f>
              <c:numCache>
                <c:formatCode>General</c:formatCode>
                <c:ptCount val="2"/>
                <c:pt idx="0">
                  <c:v>33.616870899999903</c:v>
                </c:pt>
                <c:pt idx="1">
                  <c:v>33.456251000000002</c:v>
                </c:pt>
              </c:numCache>
            </c:numRef>
          </c:xVal>
          <c:yVal>
            <c:numRef>
              <c:f>(Sheet1!$J$58,Sheet1!$J$57)</c:f>
              <c:numCache>
                <c:formatCode>General</c:formatCode>
                <c:ptCount val="2"/>
                <c:pt idx="0">
                  <c:v>-7.1230360422331502</c:v>
                </c:pt>
                <c:pt idx="1">
                  <c:v>-7.5194400000000003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0EBE-46EE-A9C3-9ECE4A0F66E5}"/>
            </c:ext>
          </c:extLst>
        </c:ser>
        <c:ser>
          <c:idx val="63"/>
          <c:order val="63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(Sheet1!$I$59,Sheet1!$I$56)</c:f>
              <c:numCache>
                <c:formatCode>General</c:formatCode>
                <c:ptCount val="2"/>
                <c:pt idx="0">
                  <c:v>33.267674599999999</c:v>
                </c:pt>
                <c:pt idx="1">
                  <c:v>33.379465000000003</c:v>
                </c:pt>
              </c:numCache>
            </c:numRef>
          </c:xVal>
          <c:yVal>
            <c:numRef>
              <c:f>(Sheet1!$J$59,Sheet1!$J$56)</c:f>
              <c:numCache>
                <c:formatCode>General</c:formatCode>
                <c:ptCount val="2"/>
                <c:pt idx="0">
                  <c:v>-7.5811465</c:v>
                </c:pt>
                <c:pt idx="1">
                  <c:v>-7.6189140000000002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0EBE-46EE-A9C3-9ECE4A0F66E5}"/>
            </c:ext>
          </c:extLst>
        </c:ser>
        <c:ser>
          <c:idx val="64"/>
          <c:order val="64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(Sheet1!$I$60,Sheet1!$I$55)</c:f>
              <c:numCache>
                <c:formatCode>General</c:formatCode>
                <c:ptCount val="2"/>
                <c:pt idx="0">
                  <c:v>33.002397000000002</c:v>
                </c:pt>
                <c:pt idx="1">
                  <c:v>33.2336952</c:v>
                </c:pt>
              </c:numCache>
            </c:numRef>
          </c:xVal>
          <c:yVal>
            <c:numRef>
              <c:f>(Sheet1!$J$60,Sheet1!$J$55)</c:f>
              <c:numCache>
                <c:formatCode>General</c:formatCode>
                <c:ptCount val="2"/>
                <c:pt idx="0">
                  <c:v>-7.6198670000000002</c:v>
                </c:pt>
                <c:pt idx="1">
                  <c:v>-8.5004248007416603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0EBE-46EE-A9C3-9ECE4A0F66E5}"/>
            </c:ext>
          </c:extLst>
        </c:ser>
        <c:ser>
          <c:idx val="65"/>
          <c:order val="65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(Sheet1!$I$61,Sheet1!$I$16)</c:f>
              <c:numCache>
                <c:formatCode>General</c:formatCode>
                <c:ptCount val="2"/>
                <c:pt idx="0">
                  <c:v>32.650779200000002</c:v>
                </c:pt>
                <c:pt idx="1">
                  <c:v>32.05433</c:v>
                </c:pt>
              </c:numCache>
            </c:numRef>
          </c:xVal>
          <c:yVal>
            <c:numRef>
              <c:f>(Sheet1!$J$61,Sheet1!$J$16)</c:f>
              <c:numCache>
                <c:formatCode>General</c:formatCode>
                <c:ptCount val="2"/>
                <c:pt idx="0">
                  <c:v>-8.4242086999999994</c:v>
                </c:pt>
                <c:pt idx="1">
                  <c:v>-7.4067600000000002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0EBE-46EE-A9C3-9ECE4A0F66E5}"/>
            </c:ext>
          </c:extLst>
        </c:ser>
        <c:ser>
          <c:idx val="66"/>
          <c:order val="66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(Sheet1!$I$62,Sheet1!$I$63)</c:f>
              <c:numCache>
                <c:formatCode>General</c:formatCode>
                <c:ptCount val="2"/>
                <c:pt idx="0">
                  <c:v>23.283709999999999</c:v>
                </c:pt>
                <c:pt idx="1">
                  <c:v>22.072414500000001</c:v>
                </c:pt>
              </c:numCache>
            </c:numRef>
          </c:xVal>
          <c:yVal>
            <c:numRef>
              <c:f>(Sheet1!$J$62,Sheet1!$J$63)</c:f>
              <c:numCache>
                <c:formatCode>General</c:formatCode>
                <c:ptCount val="2"/>
                <c:pt idx="0">
                  <c:v>-15.020262199999999</c:v>
                </c:pt>
                <c:pt idx="1">
                  <c:v>-14.445243230159999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0EBE-46EE-A9C3-9ECE4A0F66E5}"/>
            </c:ext>
          </c:extLst>
        </c:ser>
        <c:ser>
          <c:idx val="67"/>
          <c:order val="67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(Sheet1!$I$63,Sheet1!$I$77)</c:f>
              <c:numCache>
                <c:formatCode>General</c:formatCode>
                <c:ptCount val="2"/>
                <c:pt idx="0">
                  <c:v>22.072414500000001</c:v>
                </c:pt>
                <c:pt idx="1">
                  <c:v>26.126337800000002</c:v>
                </c:pt>
              </c:numCache>
            </c:numRef>
          </c:xVal>
          <c:yVal>
            <c:numRef>
              <c:f>(Sheet1!$J$63,Sheet1!$J$77)</c:f>
              <c:numCache>
                <c:formatCode>General</c:formatCode>
                <c:ptCount val="2"/>
                <c:pt idx="0">
                  <c:v>-14.445243230159999</c:v>
                </c:pt>
                <c:pt idx="1">
                  <c:v>-14.4836537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0EBE-46EE-A9C3-9ECE4A0F66E5}"/>
            </c:ext>
          </c:extLst>
        </c:ser>
        <c:ser>
          <c:idx val="68"/>
          <c:order val="68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(Sheet1!$I$64,Sheet1!$I$6)</c:f>
              <c:numCache>
                <c:formatCode>General</c:formatCode>
                <c:ptCount val="2"/>
                <c:pt idx="0">
                  <c:v>32.334192999999999</c:v>
                </c:pt>
                <c:pt idx="1">
                  <c:v>34.668327599999998</c:v>
                </c:pt>
              </c:numCache>
            </c:numRef>
          </c:xVal>
          <c:yVal>
            <c:numRef>
              <c:f>(Sheet1!$J$64,Sheet1!$J$6)</c:f>
              <c:numCache>
                <c:formatCode>General</c:formatCode>
                <c:ptCount val="2"/>
                <c:pt idx="0">
                  <c:v>-6.3533350000000004</c:v>
                </c:pt>
                <c:pt idx="1">
                  <c:v>-2.0362448226773799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0EBE-46EE-A9C3-9ECE4A0F66E5}"/>
            </c:ext>
          </c:extLst>
        </c:ser>
        <c:ser>
          <c:idx val="69"/>
          <c:order val="69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(Sheet1!$I$65,Sheet1!$I$6)</c:f>
              <c:numCache>
                <c:formatCode>General</c:formatCode>
                <c:ptCount val="2"/>
                <c:pt idx="0">
                  <c:v>31.870226200000001</c:v>
                </c:pt>
                <c:pt idx="1">
                  <c:v>34.668327599999998</c:v>
                </c:pt>
              </c:numCache>
            </c:numRef>
          </c:xVal>
          <c:yVal>
            <c:numRef>
              <c:f>(Sheet1!$J$65,Sheet1!$J$6)</c:f>
              <c:numCache>
                <c:formatCode>General</c:formatCode>
                <c:ptCount val="2"/>
                <c:pt idx="0">
                  <c:v>-6.4322478721500298</c:v>
                </c:pt>
                <c:pt idx="1">
                  <c:v>-2.0362448226773799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0EBE-46EE-A9C3-9ECE4A0F66E5}"/>
            </c:ext>
          </c:extLst>
        </c:ser>
        <c:ser>
          <c:idx val="70"/>
          <c:order val="70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(Sheet1!$I$66,Sheet1!$I$35)</c:f>
              <c:numCache>
                <c:formatCode>General</c:formatCode>
                <c:ptCount val="2"/>
                <c:pt idx="0">
                  <c:v>32.509831649999903</c:v>
                </c:pt>
                <c:pt idx="1">
                  <c:v>28.986385200000001</c:v>
                </c:pt>
              </c:numCache>
            </c:numRef>
          </c:xVal>
          <c:yVal>
            <c:numRef>
              <c:f>(Sheet1!$J$66,Sheet1!$J$35)</c:f>
              <c:numCache>
                <c:formatCode>General</c:formatCode>
                <c:ptCount val="2"/>
                <c:pt idx="0">
                  <c:v>-6.8545211743695402</c:v>
                </c:pt>
                <c:pt idx="1">
                  <c:v>-10.057435099999999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0EBE-46EE-A9C3-9ECE4A0F66E5}"/>
            </c:ext>
          </c:extLst>
        </c:ser>
        <c:ser>
          <c:idx val="71"/>
          <c:order val="71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(Sheet1!$I$67,Sheet1!$I$52)</c:f>
              <c:numCache>
                <c:formatCode>General</c:formatCode>
                <c:ptCount val="2"/>
                <c:pt idx="0">
                  <c:v>32.935771799999998</c:v>
                </c:pt>
                <c:pt idx="1">
                  <c:v>29.746392</c:v>
                </c:pt>
              </c:numCache>
            </c:numRef>
          </c:xVal>
          <c:yVal>
            <c:numRef>
              <c:f>(Sheet1!$J$67,Sheet1!$J$52)</c:f>
              <c:numCache>
                <c:formatCode>General</c:formatCode>
                <c:ptCount val="2"/>
                <c:pt idx="0">
                  <c:v>-5.6696504000000001</c:v>
                </c:pt>
                <c:pt idx="1">
                  <c:v>-7.9696050999999999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0EBE-46EE-A9C3-9ECE4A0F66E5}"/>
            </c:ext>
          </c:extLst>
        </c:ser>
        <c:ser>
          <c:idx val="72"/>
          <c:order val="72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(Sheet1!$I$68,Sheet1!$I$59)</c:f>
              <c:numCache>
                <c:formatCode>General</c:formatCode>
                <c:ptCount val="2"/>
                <c:pt idx="0">
                  <c:v>32.885508000000002</c:v>
                </c:pt>
                <c:pt idx="1">
                  <c:v>33.267674599999999</c:v>
                </c:pt>
              </c:numCache>
            </c:numRef>
          </c:xVal>
          <c:yVal>
            <c:numRef>
              <c:f>(Sheet1!$J$68,Sheet1!$J$59)</c:f>
              <c:numCache>
                <c:formatCode>General</c:formatCode>
                <c:ptCount val="2"/>
                <c:pt idx="0">
                  <c:v>-6.9092380000000002</c:v>
                </c:pt>
                <c:pt idx="1">
                  <c:v>-7.5811465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0EBE-46EE-A9C3-9ECE4A0F66E5}"/>
            </c:ext>
          </c:extLst>
        </c:ser>
        <c:ser>
          <c:idx val="73"/>
          <c:order val="73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(Sheet1!$I$69,Sheet1!$I$72)</c:f>
              <c:numCache>
                <c:formatCode>General</c:formatCode>
                <c:ptCount val="2"/>
                <c:pt idx="0">
                  <c:v>34.022359999999999</c:v>
                </c:pt>
                <c:pt idx="1">
                  <c:v>34.264569999999999</c:v>
                </c:pt>
              </c:numCache>
            </c:numRef>
          </c:xVal>
          <c:yVal>
            <c:numRef>
              <c:f>(Sheet1!$J$69,Sheet1!$J$72)</c:f>
              <c:numCache>
                <c:formatCode>General</c:formatCode>
                <c:ptCount val="2"/>
                <c:pt idx="0">
                  <c:v>-6.8340221999999997</c:v>
                </c:pt>
                <c:pt idx="1">
                  <c:v>-6.5701689999999999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0EBE-46EE-A9C3-9ECE4A0F66E5}"/>
            </c:ext>
          </c:extLst>
        </c:ser>
        <c:ser>
          <c:idx val="74"/>
          <c:order val="74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(Sheet1!$I$70,Sheet1!$I$69)</c:f>
              <c:numCache>
                <c:formatCode>General</c:formatCode>
                <c:ptCount val="2"/>
                <c:pt idx="0">
                  <c:v>34.044888999999998</c:v>
                </c:pt>
                <c:pt idx="1">
                  <c:v>34.022359999999999</c:v>
                </c:pt>
              </c:numCache>
            </c:numRef>
          </c:xVal>
          <c:yVal>
            <c:numRef>
              <c:f>(Sheet1!$J$70,Sheet1!$J$69)</c:f>
              <c:numCache>
                <c:formatCode>General</c:formatCode>
                <c:ptCount val="2"/>
                <c:pt idx="0">
                  <c:v>-6.8140169999999998</c:v>
                </c:pt>
                <c:pt idx="1">
                  <c:v>-6.8340221999999997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0EBE-46EE-A9C3-9ECE4A0F66E5}"/>
            </c:ext>
          </c:extLst>
        </c:ser>
        <c:ser>
          <c:idx val="75"/>
          <c:order val="75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(Sheet1!$I$71,Sheet1!$I$65)</c:f>
              <c:numCache>
                <c:formatCode>General</c:formatCode>
                <c:ptCount val="2"/>
                <c:pt idx="0">
                  <c:v>33.74792995</c:v>
                </c:pt>
                <c:pt idx="1">
                  <c:v>31.870226200000001</c:v>
                </c:pt>
              </c:numCache>
            </c:numRef>
          </c:xVal>
          <c:yVal>
            <c:numRef>
              <c:f>(Sheet1!$J$71,Sheet1!$J$65)</c:f>
              <c:numCache>
                <c:formatCode>General</c:formatCode>
                <c:ptCount val="2"/>
                <c:pt idx="0">
                  <c:v>-6.8792204474033296</c:v>
                </c:pt>
                <c:pt idx="1">
                  <c:v>-6.4322478721500298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0EBE-46EE-A9C3-9ECE4A0F66E5}"/>
            </c:ext>
          </c:extLst>
        </c:ser>
        <c:ser>
          <c:idx val="76"/>
          <c:order val="76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(Sheet1!$I$72,Sheet1!$I$43)</c:f>
              <c:numCache>
                <c:formatCode>General</c:formatCode>
                <c:ptCount val="2"/>
                <c:pt idx="0">
                  <c:v>34.264569999999999</c:v>
                </c:pt>
                <c:pt idx="1">
                  <c:v>35.195232699999998</c:v>
                </c:pt>
              </c:numCache>
            </c:numRef>
          </c:xVal>
          <c:yVal>
            <c:numRef>
              <c:f>(Sheet1!$J$72,Sheet1!$J$43)</c:f>
              <c:numCache>
                <c:formatCode>General</c:formatCode>
                <c:ptCount val="2"/>
                <c:pt idx="0">
                  <c:v>-6.5701689999999999</c:v>
                </c:pt>
                <c:pt idx="1">
                  <c:v>-6.1529129999999999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0EBE-46EE-A9C3-9ECE4A0F66E5}"/>
            </c:ext>
          </c:extLst>
        </c:ser>
        <c:ser>
          <c:idx val="77"/>
          <c:order val="77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(Sheet1!$I$73,Sheet1!$I$75)</c:f>
              <c:numCache>
                <c:formatCode>General</c:formatCode>
                <c:ptCount val="2"/>
                <c:pt idx="0">
                  <c:v>33.830286999999998</c:v>
                </c:pt>
                <c:pt idx="1">
                  <c:v>34.259878</c:v>
                </c:pt>
              </c:numCache>
            </c:numRef>
          </c:xVal>
          <c:yVal>
            <c:numRef>
              <c:f>(Sheet1!$J$73,Sheet1!$J$75)</c:f>
              <c:numCache>
                <c:formatCode>General</c:formatCode>
                <c:ptCount val="2"/>
                <c:pt idx="0">
                  <c:v>-6.0726050000000003</c:v>
                </c:pt>
                <c:pt idx="1">
                  <c:v>-5.9272530000000003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0EBE-46EE-A9C3-9ECE4A0F66E5}"/>
            </c:ext>
          </c:extLst>
        </c:ser>
        <c:ser>
          <c:idx val="78"/>
          <c:order val="78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(Sheet1!$I$74,Sheet1!$I$18)</c:f>
              <c:numCache>
                <c:formatCode>General</c:formatCode>
                <c:ptCount val="2"/>
                <c:pt idx="0">
                  <c:v>34.226412000000003</c:v>
                </c:pt>
                <c:pt idx="1">
                  <c:v>34.921333699999998</c:v>
                </c:pt>
              </c:numCache>
            </c:numRef>
          </c:xVal>
          <c:yVal>
            <c:numRef>
              <c:f>(Sheet1!$J$74,Sheet1!$J$18)</c:f>
              <c:numCache>
                <c:formatCode>General</c:formatCode>
                <c:ptCount val="2"/>
                <c:pt idx="0">
                  <c:v>-5.7114339999999997</c:v>
                </c:pt>
                <c:pt idx="1">
                  <c:v>-2.1460313000000002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0EBE-46EE-A9C3-9ECE4A0F66E5}"/>
            </c:ext>
          </c:extLst>
        </c:ser>
        <c:ser>
          <c:idx val="79"/>
          <c:order val="79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(Sheet1!$I$75,Sheet1!$I$74)</c:f>
              <c:numCache>
                <c:formatCode>General</c:formatCode>
                <c:ptCount val="2"/>
                <c:pt idx="0">
                  <c:v>34.259878</c:v>
                </c:pt>
                <c:pt idx="1">
                  <c:v>34.226412000000003</c:v>
                </c:pt>
              </c:numCache>
            </c:numRef>
          </c:xVal>
          <c:yVal>
            <c:numRef>
              <c:f>(Sheet1!$J$75,Sheet1!$J$74)</c:f>
              <c:numCache>
                <c:formatCode>General</c:formatCode>
                <c:ptCount val="2"/>
                <c:pt idx="0">
                  <c:v>-5.9272530000000003</c:v>
                </c:pt>
                <c:pt idx="1">
                  <c:v>-5.7114339999999997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0EBE-46EE-A9C3-9ECE4A0F66E5}"/>
            </c:ext>
          </c:extLst>
        </c:ser>
        <c:ser>
          <c:idx val="80"/>
          <c:order val="80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(Sheet1!$I$76,Sheet1!$I$25)</c:f>
              <c:numCache>
                <c:formatCode>General</c:formatCode>
                <c:ptCount val="2"/>
                <c:pt idx="0">
                  <c:v>27.154512</c:v>
                </c:pt>
                <c:pt idx="1">
                  <c:v>30.328035</c:v>
                </c:pt>
              </c:numCache>
            </c:numRef>
          </c:xVal>
          <c:yVal>
            <c:numRef>
              <c:f>(Sheet1!$J$76,Sheet1!$J$25)</c:f>
              <c:numCache>
                <c:formatCode>General</c:formatCode>
                <c:ptCount val="2"/>
                <c:pt idx="0">
                  <c:v>-13.195392099999999</c:v>
                </c:pt>
                <c:pt idx="1">
                  <c:v>-5.8371389999999996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0EBE-46EE-A9C3-9ECE4A0F66E5}"/>
            </c:ext>
          </c:extLst>
        </c:ser>
        <c:ser>
          <c:idx val="81"/>
          <c:order val="81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(Sheet1!$I$77,Sheet1!$I$76)</c:f>
              <c:numCache>
                <c:formatCode>General</c:formatCode>
                <c:ptCount val="2"/>
                <c:pt idx="0">
                  <c:v>26.126337800000002</c:v>
                </c:pt>
                <c:pt idx="1">
                  <c:v>27.154512</c:v>
                </c:pt>
              </c:numCache>
            </c:numRef>
          </c:xVal>
          <c:yVal>
            <c:numRef>
              <c:f>(Sheet1!$J$77,Sheet1!$J$76)</c:f>
              <c:numCache>
                <c:formatCode>General</c:formatCode>
                <c:ptCount val="2"/>
                <c:pt idx="0">
                  <c:v>-14.4836537</c:v>
                </c:pt>
                <c:pt idx="1">
                  <c:v>-13.195392099999999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0EBE-46EE-A9C3-9ECE4A0F66E5}"/>
            </c:ext>
          </c:extLst>
        </c:ser>
        <c:ser>
          <c:idx val="82"/>
          <c:order val="82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(Sheet1!$I$78,Sheet1!$I$51)</c:f>
              <c:numCache>
                <c:formatCode>General</c:formatCode>
                <c:ptCount val="2"/>
                <c:pt idx="0">
                  <c:v>27.940120400000001</c:v>
                </c:pt>
                <c:pt idx="1">
                  <c:v>29.698623999999999</c:v>
                </c:pt>
              </c:numCache>
            </c:numRef>
          </c:xVal>
          <c:yVal>
            <c:numRef>
              <c:f>(Sheet1!$J$78,Sheet1!$J$51)</c:f>
              <c:numCache>
                <c:formatCode>General</c:formatCode>
                <c:ptCount val="2"/>
                <c:pt idx="0">
                  <c:v>-12.9249934</c:v>
                </c:pt>
                <c:pt idx="1">
                  <c:v>-9.7312814999999997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0EBE-46EE-A9C3-9ECE4A0F66E5}"/>
            </c:ext>
          </c:extLst>
        </c:ser>
        <c:ser>
          <c:idx val="83"/>
          <c:order val="83"/>
          <c:spPr>
            <a:ln w="254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stealth" w="lg" len="lg"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254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stealth" w="lg" len="lg"/>
              </a:ln>
              <a:effectLst/>
            </c:spPr>
          </c:marker>
          <c:xVal>
            <c:numRef>
              <c:f>(Sheet1!$I$79,Sheet1!$I$62)</c:f>
              <c:numCache>
                <c:formatCode>General</c:formatCode>
                <c:ptCount val="2"/>
                <c:pt idx="0">
                  <c:v>26.74</c:v>
                </c:pt>
                <c:pt idx="1">
                  <c:v>23.283709999999999</c:v>
                </c:pt>
              </c:numCache>
            </c:numRef>
          </c:xVal>
          <c:yVal>
            <c:numRef>
              <c:f>(Sheet1!$J$79,Sheet1!$J$62)</c:f>
              <c:numCache>
                <c:formatCode>General</c:formatCode>
                <c:ptCount val="2"/>
                <c:pt idx="0">
                  <c:v>-11.67</c:v>
                </c:pt>
                <c:pt idx="1">
                  <c:v>-15.020262199999999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0EBE-46EE-A9C3-9ECE4A0F6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690560"/>
        <c:axId val="726688040"/>
      </c:scatterChart>
      <c:valAx>
        <c:axId val="726690560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26688040"/>
        <c:crosses val="autoZero"/>
        <c:crossBetween val="midCat"/>
      </c:valAx>
      <c:valAx>
        <c:axId val="72668804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726690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10</xdr:row>
          <xdr:rowOff>190500</xdr:rowOff>
        </xdr:from>
        <xdr:to>
          <xdr:col>2</xdr:col>
          <xdr:colOff>542925</xdr:colOff>
          <xdr:row>14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638175</xdr:colOff>
          <xdr:row>15</xdr:row>
          <xdr:rowOff>161925</xdr:rowOff>
        </xdr:from>
        <xdr:to>
          <xdr:col>2</xdr:col>
          <xdr:colOff>504825</xdr:colOff>
          <xdr:row>19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695325</xdr:colOff>
          <xdr:row>6</xdr:row>
          <xdr:rowOff>38100</xdr:rowOff>
        </xdr:from>
        <xdr:to>
          <xdr:col>2</xdr:col>
          <xdr:colOff>619125</xdr:colOff>
          <xdr:row>10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21</xdr:row>
          <xdr:rowOff>114300</xdr:rowOff>
        </xdr:from>
        <xdr:to>
          <xdr:col>2</xdr:col>
          <xdr:colOff>571500</xdr:colOff>
          <xdr:row>24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Client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21</xdr:row>
          <xdr:rowOff>180975</xdr:rowOff>
        </xdr:from>
        <xdr:to>
          <xdr:col>5</xdr:col>
          <xdr:colOff>685800</xdr:colOff>
          <xdr:row>24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122</xdr:row>
          <xdr:rowOff>123825</xdr:rowOff>
        </xdr:from>
        <xdr:to>
          <xdr:col>6</xdr:col>
          <xdr:colOff>314325</xdr:colOff>
          <xdr:row>125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86</xdr:row>
          <xdr:rowOff>123825</xdr:rowOff>
        </xdr:from>
        <xdr:to>
          <xdr:col>6</xdr:col>
          <xdr:colOff>314325</xdr:colOff>
          <xdr:row>89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Solution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1021772</xdr:colOff>
      <xdr:row>6</xdr:row>
      <xdr:rowOff>192993</xdr:rowOff>
    </xdr:from>
    <xdr:to>
      <xdr:col>62</xdr:col>
      <xdr:colOff>634999</xdr:colOff>
      <xdr:row>47</xdr:row>
      <xdr:rowOff>73268</xdr:rowOff>
    </xdr:to>
    <xdr:graphicFrame macro="">
      <xdr:nvGraphicFramePr>
        <xdr:cNvPr id="29" name="Graphique 28">
          <a:extLst>
            <a:ext uri="{FF2B5EF4-FFF2-40B4-BE49-F238E27FC236}">
              <a16:creationId xmlns:a16="http://schemas.microsoft.com/office/drawing/2014/main" id="{F413E145-2456-627F-94A5-DA2C8BF0B2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86</xdr:col>
      <xdr:colOff>0</xdr:colOff>
      <xdr:row>3</xdr:row>
      <xdr:rowOff>0</xdr:rowOff>
    </xdr:from>
    <xdr:to>
      <xdr:col>160</xdr:col>
      <xdr:colOff>0</xdr:colOff>
      <xdr:row>77</xdr:row>
      <xdr:rowOff>0</xdr:rowOff>
    </xdr:to>
    <xdr:sp macro="" textlink="">
      <xdr:nvSpPr>
        <xdr:cNvPr id="30" name="OpenSolver1">
          <a:extLst>
            <a:ext uri="{FF2B5EF4-FFF2-40B4-BE49-F238E27FC236}">
              <a16:creationId xmlns:a16="http://schemas.microsoft.com/office/drawing/2014/main" id="{96BCBBC5-3E69-F734-05B7-51703DB6F6F5}"/>
            </a:ext>
          </a:extLst>
        </xdr:cNvPr>
        <xdr:cNvSpPr/>
      </xdr:nvSpPr>
      <xdr:spPr>
        <a:xfrm>
          <a:off x="66503550" y="600075"/>
          <a:ext cx="56930925" cy="1480185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fr-CA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86</xdr:col>
      <xdr:colOff>0</xdr:colOff>
      <xdr:row>82</xdr:row>
      <xdr:rowOff>0</xdr:rowOff>
    </xdr:from>
    <xdr:to>
      <xdr:col>160</xdr:col>
      <xdr:colOff>0</xdr:colOff>
      <xdr:row>156</xdr:row>
      <xdr:rowOff>0</xdr:rowOff>
    </xdr:to>
    <xdr:sp macro="" textlink="">
      <xdr:nvSpPr>
        <xdr:cNvPr id="31" name="OpenSolver2">
          <a:extLst>
            <a:ext uri="{FF2B5EF4-FFF2-40B4-BE49-F238E27FC236}">
              <a16:creationId xmlns:a16="http://schemas.microsoft.com/office/drawing/2014/main" id="{802EAB85-A9C5-D77B-1BAC-BC11AEB941E2}"/>
            </a:ext>
          </a:extLst>
        </xdr:cNvPr>
        <xdr:cNvSpPr/>
      </xdr:nvSpPr>
      <xdr:spPr>
        <a:xfrm>
          <a:off x="66503550" y="16392525"/>
          <a:ext cx="56930925" cy="1480185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fr-CA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4</xdr:row>
      <xdr:rowOff>0</xdr:rowOff>
    </xdr:to>
    <xdr:sp macro="" textlink="">
      <xdr:nvSpPr>
        <xdr:cNvPr id="1024" name="OpenSolver3">
          <a:extLst>
            <a:ext uri="{FF2B5EF4-FFF2-40B4-BE49-F238E27FC236}">
              <a16:creationId xmlns:a16="http://schemas.microsoft.com/office/drawing/2014/main" id="{598C72DE-680E-05CC-7D85-15B12CBD1E75}"/>
            </a:ext>
          </a:extLst>
        </xdr:cNvPr>
        <xdr:cNvSpPr/>
      </xdr:nvSpPr>
      <xdr:spPr>
        <a:xfrm>
          <a:off x="2095500" y="60007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fr-CA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1320800</xdr:colOff>
      <xdr:row>2</xdr:row>
      <xdr:rowOff>120650</xdr:rowOff>
    </xdr:from>
    <xdr:to>
      <xdr:col>2</xdr:col>
      <xdr:colOff>218389</xdr:colOff>
      <xdr:row>3</xdr:row>
      <xdr:rowOff>47625</xdr:rowOff>
    </xdr:to>
    <xdr:sp macro="" textlink="">
      <xdr:nvSpPr>
        <xdr:cNvPr id="1025" name="OpenSolver4">
          <a:extLst>
            <a:ext uri="{FF2B5EF4-FFF2-40B4-BE49-F238E27FC236}">
              <a16:creationId xmlns:a16="http://schemas.microsoft.com/office/drawing/2014/main" id="{0CFAFB2C-F788-CD45-6EE1-3ECF690777AF}"/>
            </a:ext>
          </a:extLst>
        </xdr:cNvPr>
        <xdr:cNvSpPr/>
      </xdr:nvSpPr>
      <xdr:spPr>
        <a:xfrm>
          <a:off x="2082800" y="520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CA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86</xdr:col>
      <xdr:colOff>0</xdr:colOff>
      <xdr:row>3</xdr:row>
      <xdr:rowOff>0</xdr:rowOff>
    </xdr:from>
    <xdr:to>
      <xdr:col>87</xdr:col>
      <xdr:colOff>0</xdr:colOff>
      <xdr:row>4</xdr:row>
      <xdr:rowOff>0</xdr:rowOff>
    </xdr:to>
    <xdr:sp macro="" textlink="">
      <xdr:nvSpPr>
        <xdr:cNvPr id="1030" name="OpenSolverCI4">
          <a:extLst>
            <a:ext uri="{FF2B5EF4-FFF2-40B4-BE49-F238E27FC236}">
              <a16:creationId xmlns:a16="http://schemas.microsoft.com/office/drawing/2014/main" id="{49850201-19CC-9BB5-CBAC-40C315A8FA30}"/>
            </a:ext>
          </a:extLst>
        </xdr:cNvPr>
        <xdr:cNvSpPr/>
      </xdr:nvSpPr>
      <xdr:spPr>
        <a:xfrm>
          <a:off x="66503550" y="600075"/>
          <a:ext cx="77152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CA" sz="1100" b="1">
              <a:solidFill>
                <a:srgbClr val="0000FF"/>
              </a:solidFill>
            </a:rPr>
            <a:t>0=</a:t>
          </a:r>
        </a:p>
      </xdr:txBody>
    </xdr:sp>
    <xdr:clientData/>
  </xdr:twoCellAnchor>
  <xdr:twoCellAnchor>
    <xdr:from>
      <xdr:col>162</xdr:col>
      <xdr:colOff>0</xdr:colOff>
      <xdr:row>82</xdr:row>
      <xdr:rowOff>0</xdr:rowOff>
    </xdr:from>
    <xdr:to>
      <xdr:col>163</xdr:col>
      <xdr:colOff>0</xdr:colOff>
      <xdr:row>156</xdr:row>
      <xdr:rowOff>0</xdr:rowOff>
    </xdr:to>
    <xdr:sp macro="" textlink="">
      <xdr:nvSpPr>
        <xdr:cNvPr id="1034" name="OpenSolverFG83:FG156">
          <a:extLst>
            <a:ext uri="{FF2B5EF4-FFF2-40B4-BE49-F238E27FC236}">
              <a16:creationId xmlns:a16="http://schemas.microsoft.com/office/drawing/2014/main" id="{DD2DFCBF-32DE-AFC3-C96D-9D86220D4255}"/>
            </a:ext>
          </a:extLst>
        </xdr:cNvPr>
        <xdr:cNvSpPr/>
      </xdr:nvSpPr>
      <xdr:spPr>
        <a:xfrm>
          <a:off x="124958475" y="16392525"/>
          <a:ext cx="762000" cy="148018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r>
            <a:rPr lang="fr-CA" sz="1100" b="1">
              <a:solidFill>
                <a:srgbClr val="008000"/>
              </a:solidFill>
            </a:rPr>
            <a:t>0=</a:t>
          </a:r>
        </a:p>
      </xdr:txBody>
    </xdr:sp>
    <xdr:clientData/>
  </xdr:twoCellAnchor>
  <xdr:twoCellAnchor>
    <xdr:from>
      <xdr:col>87</xdr:col>
      <xdr:colOff>0</xdr:colOff>
      <xdr:row>77</xdr:row>
      <xdr:rowOff>0</xdr:rowOff>
    </xdr:from>
    <xdr:to>
      <xdr:col>160</xdr:col>
      <xdr:colOff>0</xdr:colOff>
      <xdr:row>78</xdr:row>
      <xdr:rowOff>0</xdr:rowOff>
    </xdr:to>
    <xdr:sp macro="" textlink="">
      <xdr:nvSpPr>
        <xdr:cNvPr id="1035" name="OpenSolverCJ78:FD78">
          <a:extLst>
            <a:ext uri="{FF2B5EF4-FFF2-40B4-BE49-F238E27FC236}">
              <a16:creationId xmlns:a16="http://schemas.microsoft.com/office/drawing/2014/main" id="{91A309D8-4E59-110C-A2AB-36925810D535}"/>
            </a:ext>
          </a:extLst>
        </xdr:cNvPr>
        <xdr:cNvSpPr/>
      </xdr:nvSpPr>
      <xdr:spPr>
        <a:xfrm>
          <a:off x="67275075" y="15401925"/>
          <a:ext cx="561594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fr-CA" sz="1100" b="1">
              <a:solidFill>
                <a:srgbClr val="9900CC"/>
              </a:solidFill>
            </a:rPr>
            <a:t>0=</a:t>
          </a:r>
        </a:p>
      </xdr:txBody>
    </xdr:sp>
    <xdr:clientData/>
  </xdr:twoCellAnchor>
  <xdr:twoCellAnchor>
    <xdr:from>
      <xdr:col>160</xdr:col>
      <xdr:colOff>0</xdr:colOff>
      <xdr:row>4</xdr:row>
      <xdr:rowOff>0</xdr:rowOff>
    </xdr:from>
    <xdr:to>
      <xdr:col>161</xdr:col>
      <xdr:colOff>0</xdr:colOff>
      <xdr:row>77</xdr:row>
      <xdr:rowOff>0</xdr:rowOff>
    </xdr:to>
    <xdr:sp macro="" textlink="">
      <xdr:nvSpPr>
        <xdr:cNvPr id="1036" name="OpenSolverFE5:FE77">
          <a:extLst>
            <a:ext uri="{FF2B5EF4-FFF2-40B4-BE49-F238E27FC236}">
              <a16:creationId xmlns:a16="http://schemas.microsoft.com/office/drawing/2014/main" id="{1CAA1D91-2F5C-9244-E852-9EB312AA7808}"/>
            </a:ext>
          </a:extLst>
        </xdr:cNvPr>
        <xdr:cNvSpPr/>
      </xdr:nvSpPr>
      <xdr:spPr>
        <a:xfrm>
          <a:off x="123434475" y="800100"/>
          <a:ext cx="762000" cy="146018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r>
            <a:rPr lang="fr-CA" sz="1100" b="1">
              <a:solidFill>
                <a:srgbClr val="800000"/>
              </a:solidFill>
            </a:rPr>
            <a:t>0=</a:t>
          </a:r>
        </a:p>
      </xdr:txBody>
    </xdr:sp>
    <xdr:clientData/>
  </xdr:twoCellAnchor>
  <xdr:twoCellAnchor>
    <xdr:from>
      <xdr:col>8</xdr:col>
      <xdr:colOff>0</xdr:colOff>
      <xdr:row>82</xdr:row>
      <xdr:rowOff>0</xdr:rowOff>
    </xdr:from>
    <xdr:to>
      <xdr:col>82</xdr:col>
      <xdr:colOff>0</xdr:colOff>
      <xdr:row>156</xdr:row>
      <xdr:rowOff>0</xdr:rowOff>
    </xdr:to>
    <xdr:sp macro="" textlink="">
      <xdr:nvSpPr>
        <xdr:cNvPr id="1037" name="OpenSolverI83:CD156">
          <a:extLst>
            <a:ext uri="{FF2B5EF4-FFF2-40B4-BE49-F238E27FC236}">
              <a16:creationId xmlns:a16="http://schemas.microsoft.com/office/drawing/2014/main" id="{DC8E53CD-B138-867E-FA2E-377E84FFE30D}"/>
            </a:ext>
          </a:extLst>
        </xdr:cNvPr>
        <xdr:cNvSpPr/>
      </xdr:nvSpPr>
      <xdr:spPr>
        <a:xfrm>
          <a:off x="6534150" y="16392525"/>
          <a:ext cx="56902350" cy="148018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r>
            <a:rPr lang="fr-CA" sz="1100" b="1">
              <a:solidFill>
                <a:srgbClr val="00CC33"/>
              </a:solidFill>
            </a:rPr>
            <a:t>0≥</a:t>
          </a:r>
        </a:p>
      </xdr:txBody>
    </xdr:sp>
    <xdr:clientData/>
  </xdr:twoCellAnchor>
  <xdr:twoCellAnchor>
    <xdr:from>
      <xdr:col>86</xdr:col>
      <xdr:colOff>12700</xdr:colOff>
      <xdr:row>3</xdr:row>
      <xdr:rowOff>12700</xdr:rowOff>
    </xdr:from>
    <xdr:to>
      <xdr:col>160</xdr:col>
      <xdr:colOff>0</xdr:colOff>
      <xdr:row>77</xdr:row>
      <xdr:rowOff>0</xdr:rowOff>
    </xdr:to>
    <xdr:sp macro="" textlink="">
      <xdr:nvSpPr>
        <xdr:cNvPr id="1038" name="OpenSolver10">
          <a:extLst>
            <a:ext uri="{FF2B5EF4-FFF2-40B4-BE49-F238E27FC236}">
              <a16:creationId xmlns:a16="http://schemas.microsoft.com/office/drawing/2014/main" id="{03FAB72D-D3A2-AC1A-FBAC-27CFB02258DB}"/>
            </a:ext>
          </a:extLst>
        </xdr:cNvPr>
        <xdr:cNvSpPr/>
      </xdr:nvSpPr>
      <xdr:spPr>
        <a:xfrm>
          <a:off x="66516250" y="612775"/>
          <a:ext cx="56918225" cy="1478915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fr-CA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85</xdr:col>
      <xdr:colOff>755650</xdr:colOff>
      <xdr:row>2</xdr:row>
      <xdr:rowOff>133350</xdr:rowOff>
    </xdr:from>
    <xdr:to>
      <xdr:col>86</xdr:col>
      <xdr:colOff>314892</xdr:colOff>
      <xdr:row>3</xdr:row>
      <xdr:rowOff>60325</xdr:rowOff>
    </xdr:to>
    <xdr:sp macro="" textlink="">
      <xdr:nvSpPr>
        <xdr:cNvPr id="1039" name="OpenSolver11">
          <a:extLst>
            <a:ext uri="{FF2B5EF4-FFF2-40B4-BE49-F238E27FC236}">
              <a16:creationId xmlns:a16="http://schemas.microsoft.com/office/drawing/2014/main" id="{64D8AA29-1ECC-6721-C367-96AB3CAC772E}"/>
            </a:ext>
          </a:extLst>
        </xdr:cNvPr>
        <xdr:cNvSpPr/>
      </xdr:nvSpPr>
      <xdr:spPr>
        <a:xfrm>
          <a:off x="66497200" y="5334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fr-CA" sz="900">
              <a:solidFill>
                <a:srgbClr val="000000"/>
              </a:solidFill>
            </a:rPr>
            <a:t>binary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1A070-1BB1-4D46-94C4-B4843C81B1AA}">
  <sheetPr codeName="Feuil1"/>
  <dimension ref="B1:FG157"/>
  <sheetViews>
    <sheetView tabSelected="1" topLeftCell="Z1" zoomScale="51" zoomScaleNormal="100" workbookViewId="0">
      <selection activeCell="D4" sqref="D4"/>
    </sheetView>
  </sheetViews>
  <sheetFormatPr baseColWidth="10" defaultRowHeight="15" x14ac:dyDescent="0.25"/>
  <cols>
    <col min="2" max="2" width="20" bestFit="1" customWidth="1"/>
    <col min="3" max="3" width="8.85546875" customWidth="1"/>
    <col min="6" max="6" width="12" bestFit="1" customWidth="1"/>
    <col min="9" max="9" width="9.42578125" customWidth="1"/>
    <col min="10" max="10" width="9.28515625" customWidth="1"/>
    <col min="11" max="11" width="10.42578125" customWidth="1"/>
    <col min="12" max="12" width="9.28515625" customWidth="1"/>
    <col min="14" max="14" width="10.7109375" customWidth="1"/>
    <col min="22" max="22" width="8.85546875" customWidth="1"/>
    <col min="25" max="25" width="12.85546875" bestFit="1" customWidth="1"/>
    <col min="26" max="26" width="16" bestFit="1" customWidth="1"/>
    <col min="27" max="27" width="16.7109375" bestFit="1" customWidth="1"/>
    <col min="28" max="28" width="16" bestFit="1" customWidth="1"/>
    <col min="66" max="84" width="11.5703125" bestFit="1" customWidth="1"/>
    <col min="87" max="96" width="11.5703125" bestFit="1" customWidth="1"/>
    <col min="97" max="97" width="14" bestFit="1" customWidth="1"/>
    <col min="98" max="126" width="11.5703125" bestFit="1" customWidth="1"/>
  </cols>
  <sheetData>
    <row r="1" spans="2:161" ht="15.75" thickBot="1" x14ac:dyDescent="0.3"/>
    <row r="2" spans="2:161" ht="15.75" thickBot="1" x14ac:dyDescent="0.3">
      <c r="B2" s="1" t="s">
        <v>0</v>
      </c>
      <c r="C2" s="1">
        <v>70</v>
      </c>
      <c r="E2" s="1" t="s">
        <v>2</v>
      </c>
      <c r="F2" s="1" t="s">
        <v>3</v>
      </c>
    </row>
    <row r="3" spans="2:161" ht="15.75" thickBot="1" x14ac:dyDescent="0.3">
      <c r="B3" s="1" t="s">
        <v>1</v>
      </c>
      <c r="C3" s="1">
        <v>74</v>
      </c>
      <c r="E3" s="1" t="s">
        <v>4</v>
      </c>
      <c r="F3" s="1">
        <v>4</v>
      </c>
      <c r="H3" s="3" t="s">
        <v>8</v>
      </c>
      <c r="I3" s="3"/>
      <c r="J3" s="3"/>
      <c r="K3" s="1" t="s">
        <v>90</v>
      </c>
      <c r="L3" s="1" t="s">
        <v>91</v>
      </c>
      <c r="M3" s="1" t="s">
        <v>92</v>
      </c>
      <c r="N3" s="1" t="s">
        <v>93</v>
      </c>
      <c r="O3" s="1" t="s">
        <v>94</v>
      </c>
      <c r="P3" s="1" t="s">
        <v>95</v>
      </c>
      <c r="Q3" s="1" t="s">
        <v>96</v>
      </c>
      <c r="R3" s="1" t="s">
        <v>97</v>
      </c>
      <c r="S3" s="1" t="s">
        <v>98</v>
      </c>
      <c r="T3" s="1" t="s">
        <v>99</v>
      </c>
      <c r="U3" s="1" t="s">
        <v>100</v>
      </c>
      <c r="V3" s="1" t="s">
        <v>101</v>
      </c>
      <c r="W3" s="1" t="s">
        <v>102</v>
      </c>
      <c r="X3" s="1" t="s">
        <v>103</v>
      </c>
      <c r="Y3" s="1" t="s">
        <v>104</v>
      </c>
      <c r="Z3" s="1" t="s">
        <v>105</v>
      </c>
      <c r="AA3" s="1" t="s">
        <v>106</v>
      </c>
      <c r="AB3" s="1" t="s">
        <v>107</v>
      </c>
      <c r="AC3" s="1" t="s">
        <v>108</v>
      </c>
      <c r="AD3" s="1" t="s">
        <v>109</v>
      </c>
      <c r="AE3" s="1" t="s">
        <v>110</v>
      </c>
      <c r="AF3" s="1" t="s">
        <v>111</v>
      </c>
      <c r="AG3" s="1" t="s">
        <v>112</v>
      </c>
      <c r="AH3" s="1" t="s">
        <v>113</v>
      </c>
      <c r="AI3" s="1" t="s">
        <v>114</v>
      </c>
      <c r="AJ3" s="1" t="s">
        <v>115</v>
      </c>
      <c r="AK3" s="1" t="s">
        <v>116</v>
      </c>
      <c r="AL3" s="1" t="s">
        <v>117</v>
      </c>
      <c r="AM3" s="1" t="s">
        <v>118</v>
      </c>
      <c r="AN3" s="1" t="s">
        <v>119</v>
      </c>
      <c r="AO3" s="1" t="s">
        <v>120</v>
      </c>
      <c r="AP3" s="1" t="s">
        <v>121</v>
      </c>
      <c r="AQ3" s="1" t="s">
        <v>122</v>
      </c>
      <c r="AR3" s="1" t="s">
        <v>123</v>
      </c>
      <c r="AS3" s="1" t="s">
        <v>124</v>
      </c>
      <c r="AT3" s="1" t="s">
        <v>125</v>
      </c>
      <c r="AU3" s="1" t="s">
        <v>126</v>
      </c>
      <c r="AV3" s="1" t="s">
        <v>127</v>
      </c>
      <c r="AW3" s="1" t="s">
        <v>128</v>
      </c>
      <c r="AX3" s="1" t="s">
        <v>129</v>
      </c>
      <c r="AY3" s="1" t="s">
        <v>130</v>
      </c>
      <c r="AZ3" s="1" t="s">
        <v>131</v>
      </c>
      <c r="BA3" s="1" t="s">
        <v>132</v>
      </c>
      <c r="BB3" s="1" t="s">
        <v>133</v>
      </c>
      <c r="BC3" s="1" t="s">
        <v>134</v>
      </c>
      <c r="BD3" s="1" t="s">
        <v>135</v>
      </c>
      <c r="BE3" s="1" t="s">
        <v>136</v>
      </c>
      <c r="BF3" s="1" t="s">
        <v>137</v>
      </c>
      <c r="BG3" s="1" t="s">
        <v>138</v>
      </c>
      <c r="BH3" s="1" t="s">
        <v>139</v>
      </c>
      <c r="BI3" s="1" t="s">
        <v>140</v>
      </c>
      <c r="BJ3" s="1" t="s">
        <v>141</v>
      </c>
      <c r="BK3" s="1" t="s">
        <v>142</v>
      </c>
      <c r="BL3" s="1" t="s">
        <v>143</v>
      </c>
      <c r="BM3" s="1" t="s">
        <v>144</v>
      </c>
      <c r="BN3" s="1" t="s">
        <v>145</v>
      </c>
      <c r="BO3" s="1" t="s">
        <v>146</v>
      </c>
      <c r="BP3" s="1" t="s">
        <v>147</v>
      </c>
      <c r="BQ3" s="1" t="s">
        <v>148</v>
      </c>
      <c r="BR3" s="1" t="s">
        <v>149</v>
      </c>
      <c r="BS3" s="1" t="s">
        <v>150</v>
      </c>
      <c r="BT3" s="1" t="s">
        <v>151</v>
      </c>
      <c r="BU3" s="1" t="s">
        <v>152</v>
      </c>
      <c r="BV3" s="1" t="s">
        <v>153</v>
      </c>
      <c r="BW3" s="1" t="s">
        <v>154</v>
      </c>
      <c r="BX3" s="1" t="s">
        <v>155</v>
      </c>
      <c r="BY3" s="1" t="s">
        <v>156</v>
      </c>
      <c r="BZ3" s="1" t="s">
        <v>157</v>
      </c>
      <c r="CA3" s="1" t="s">
        <v>158</v>
      </c>
      <c r="CB3" s="1" t="s">
        <v>16</v>
      </c>
      <c r="CC3" s="1" t="s">
        <v>17</v>
      </c>
      <c r="CD3" s="1" t="s">
        <v>18</v>
      </c>
      <c r="CE3" s="1" t="s">
        <v>19</v>
      </c>
      <c r="CF3" s="1" t="s">
        <v>20</v>
      </c>
      <c r="CH3" s="1" t="s">
        <v>11</v>
      </c>
      <c r="CI3" s="1" t="s">
        <v>4</v>
      </c>
      <c r="CJ3" s="1" t="s">
        <v>5</v>
      </c>
      <c r="CK3" s="1" t="s">
        <v>6</v>
      </c>
      <c r="CL3" s="1" t="s">
        <v>7</v>
      </c>
      <c r="CM3" s="1" t="s">
        <v>13</v>
      </c>
      <c r="CN3" s="1" t="s">
        <v>21</v>
      </c>
      <c r="CO3" s="1" t="s">
        <v>22</v>
      </c>
      <c r="CP3" s="1" t="s">
        <v>23</v>
      </c>
      <c r="CQ3" s="1" t="s">
        <v>24</v>
      </c>
      <c r="CR3" s="1" t="s">
        <v>25</v>
      </c>
      <c r="CS3" s="1" t="s">
        <v>26</v>
      </c>
      <c r="CT3" s="1" t="s">
        <v>27</v>
      </c>
      <c r="CU3" s="1" t="s">
        <v>28</v>
      </c>
      <c r="CV3" s="1" t="s">
        <v>29</v>
      </c>
      <c r="CW3" s="1" t="s">
        <v>30</v>
      </c>
      <c r="CX3" s="1" t="s">
        <v>31</v>
      </c>
      <c r="CY3" s="1" t="s">
        <v>32</v>
      </c>
      <c r="CZ3" s="1" t="s">
        <v>33</v>
      </c>
      <c r="DA3" s="1" t="s">
        <v>34</v>
      </c>
      <c r="DB3" s="1" t="s">
        <v>35</v>
      </c>
      <c r="DC3" s="1" t="s">
        <v>36</v>
      </c>
      <c r="DD3" s="1" t="s">
        <v>37</v>
      </c>
      <c r="DE3" s="1" t="s">
        <v>38</v>
      </c>
      <c r="DF3" s="1" t="s">
        <v>39</v>
      </c>
      <c r="DG3" s="1" t="s">
        <v>40</v>
      </c>
      <c r="DH3" s="1" t="s">
        <v>41</v>
      </c>
      <c r="DI3" s="1" t="s">
        <v>42</v>
      </c>
      <c r="DJ3" s="1" t="s">
        <v>43</v>
      </c>
      <c r="DK3" s="1" t="s">
        <v>44</v>
      </c>
      <c r="DL3" s="1" t="s">
        <v>45</v>
      </c>
      <c r="DM3" s="1" t="s">
        <v>46</v>
      </c>
      <c r="DN3" s="1" t="s">
        <v>47</v>
      </c>
      <c r="DO3" s="1" t="s">
        <v>48</v>
      </c>
      <c r="DP3" s="1" t="s">
        <v>49</v>
      </c>
      <c r="DQ3" s="1" t="s">
        <v>50</v>
      </c>
      <c r="DR3" s="1" t="s">
        <v>51</v>
      </c>
      <c r="DS3" s="1" t="s">
        <v>52</v>
      </c>
      <c r="DT3" s="1" t="s">
        <v>53</v>
      </c>
      <c r="DU3" s="1" t="s">
        <v>54</v>
      </c>
      <c r="DV3" s="1" t="s">
        <v>55</v>
      </c>
      <c r="DW3" s="1" t="s">
        <v>56</v>
      </c>
      <c r="DX3" s="1" t="s">
        <v>57</v>
      </c>
      <c r="DY3" s="1" t="s">
        <v>58</v>
      </c>
      <c r="DZ3" s="1" t="s">
        <v>59</v>
      </c>
      <c r="EA3" s="1" t="s">
        <v>60</v>
      </c>
      <c r="EB3" s="1" t="s">
        <v>61</v>
      </c>
      <c r="EC3" s="1" t="s">
        <v>62</v>
      </c>
      <c r="ED3" s="1" t="s">
        <v>63</v>
      </c>
      <c r="EE3" s="1" t="s">
        <v>64</v>
      </c>
      <c r="EF3" s="1" t="s">
        <v>65</v>
      </c>
      <c r="EG3" s="1" t="s">
        <v>66</v>
      </c>
      <c r="EH3" s="1" t="s">
        <v>67</v>
      </c>
      <c r="EI3" s="1" t="s">
        <v>68</v>
      </c>
      <c r="EJ3" s="1" t="s">
        <v>69</v>
      </c>
      <c r="EK3" s="1" t="s">
        <v>70</v>
      </c>
      <c r="EL3" s="1" t="s">
        <v>71</v>
      </c>
      <c r="EM3" s="1" t="s">
        <v>72</v>
      </c>
      <c r="EN3" s="1" t="s">
        <v>73</v>
      </c>
      <c r="EO3" s="1" t="s">
        <v>74</v>
      </c>
      <c r="EP3" s="1" t="s">
        <v>75</v>
      </c>
      <c r="EQ3" s="1" t="s">
        <v>76</v>
      </c>
      <c r="ER3" s="1" t="s">
        <v>77</v>
      </c>
      <c r="ES3" s="1" t="s">
        <v>78</v>
      </c>
      <c r="ET3" s="1" t="s">
        <v>79</v>
      </c>
      <c r="EU3" s="1" t="s">
        <v>80</v>
      </c>
      <c r="EV3" s="1" t="s">
        <v>81</v>
      </c>
      <c r="EW3" s="1" t="s">
        <v>82</v>
      </c>
      <c r="EX3" s="1" t="s">
        <v>83</v>
      </c>
      <c r="EY3" s="1" t="s">
        <v>84</v>
      </c>
      <c r="EZ3" s="1" t="s">
        <v>85</v>
      </c>
      <c r="FA3" s="1" t="s">
        <v>86</v>
      </c>
      <c r="FB3" s="1" t="s">
        <v>87</v>
      </c>
      <c r="FC3" s="1" t="s">
        <v>88</v>
      </c>
      <c r="FD3" s="1" t="s">
        <v>89</v>
      </c>
      <c r="FE3" s="1"/>
    </row>
    <row r="4" spans="2:161" ht="15.75" thickBot="1" x14ac:dyDescent="0.3">
      <c r="B4" s="1" t="s">
        <v>12</v>
      </c>
      <c r="C4" s="1">
        <f>SUMPRODUCT(K6:CF79,CI4:FD77)</f>
        <v>165.52837652088874</v>
      </c>
      <c r="E4" s="1" t="s">
        <v>5</v>
      </c>
      <c r="F4" s="1">
        <v>9</v>
      </c>
      <c r="H4" s="3"/>
      <c r="I4" s="3"/>
      <c r="J4" s="3"/>
      <c r="K4" s="2">
        <v>34.668327599999998</v>
      </c>
      <c r="L4" s="2">
        <v>35.207005799999997</v>
      </c>
      <c r="M4" s="2">
        <v>34.976939999999999</v>
      </c>
      <c r="N4" s="2">
        <v>34.310530999999997</v>
      </c>
      <c r="O4" s="2">
        <v>34.926675500000002</v>
      </c>
      <c r="P4" s="2">
        <v>34.225575999999997</v>
      </c>
      <c r="Q4" s="2">
        <v>32.705883999999998</v>
      </c>
      <c r="R4" s="2">
        <v>31.6258257</v>
      </c>
      <c r="S4" s="2">
        <v>31.5469033</v>
      </c>
      <c r="T4" s="2">
        <v>31.512926700000001</v>
      </c>
      <c r="U4" s="2">
        <v>32.05433</v>
      </c>
      <c r="V4" s="2">
        <v>31.511828099999999</v>
      </c>
      <c r="W4" s="2">
        <v>34.921333699999998</v>
      </c>
      <c r="X4" s="2">
        <v>32.265077599999998</v>
      </c>
      <c r="Y4" s="2">
        <v>32.245801</v>
      </c>
      <c r="Z4" s="2">
        <v>31.929089000000001</v>
      </c>
      <c r="AA4" s="2">
        <v>30.920193000000001</v>
      </c>
      <c r="AB4" s="2">
        <v>32.680346999999998</v>
      </c>
      <c r="AC4" s="2">
        <v>31.521329999999999</v>
      </c>
      <c r="AD4" s="2">
        <v>30.328035</v>
      </c>
      <c r="AE4" s="2">
        <v>34.034653400000003</v>
      </c>
      <c r="AF4" s="2">
        <v>33.897877000000001</v>
      </c>
      <c r="AG4" s="2">
        <v>33.698751549999997</v>
      </c>
      <c r="AH4" s="2">
        <v>33.527605000000001</v>
      </c>
      <c r="AI4" s="2">
        <v>34.087468000000001</v>
      </c>
      <c r="AJ4" s="2">
        <v>33.824897999999997</v>
      </c>
      <c r="AK4" s="2">
        <v>33.363795799999998</v>
      </c>
      <c r="AL4" s="2">
        <v>34.538476000000003</v>
      </c>
      <c r="AM4" s="2">
        <v>34.230155000000003</v>
      </c>
      <c r="AN4" s="2">
        <v>28.986385200000001</v>
      </c>
      <c r="AO4" s="2">
        <v>27.413725100000001</v>
      </c>
      <c r="AP4" s="2">
        <v>28.437553000000001</v>
      </c>
      <c r="AQ4" s="2">
        <v>29.379125299999998</v>
      </c>
      <c r="AR4" s="2">
        <v>35.777434100000001</v>
      </c>
      <c r="AS4" s="2">
        <v>35.683359799999998</v>
      </c>
      <c r="AT4" s="2">
        <v>35.570174999999999</v>
      </c>
      <c r="AU4" s="2">
        <v>35.758900050000001</v>
      </c>
      <c r="AV4" s="2">
        <v>35.195232699999998</v>
      </c>
      <c r="AW4" s="2">
        <v>35.245114000000001</v>
      </c>
      <c r="AX4" s="2">
        <v>35.170083200000001</v>
      </c>
      <c r="AY4" s="2">
        <v>34.796756999999999</v>
      </c>
      <c r="AZ4" s="2">
        <v>30.420949199999999</v>
      </c>
      <c r="BA4" s="2">
        <v>30.3562929</v>
      </c>
      <c r="BB4" s="2">
        <v>30.008060149999999</v>
      </c>
      <c r="BC4" s="2">
        <v>30.471943400000001</v>
      </c>
      <c r="BD4" s="2">
        <v>29.698623999999999</v>
      </c>
      <c r="BE4" s="2">
        <v>29.746392</v>
      </c>
      <c r="BF4" s="2">
        <v>33.594514400000001</v>
      </c>
      <c r="BG4" s="2">
        <v>33.695838299999998</v>
      </c>
      <c r="BH4" s="2">
        <v>33.2336952</v>
      </c>
      <c r="BI4" s="2">
        <v>33.379465000000003</v>
      </c>
      <c r="BJ4" s="2">
        <v>33.456251000000002</v>
      </c>
      <c r="BK4" s="2">
        <v>33.616870899999903</v>
      </c>
      <c r="BL4" s="2">
        <v>33.267674599999999</v>
      </c>
      <c r="BM4" s="2">
        <v>33.002397000000002</v>
      </c>
      <c r="BN4" s="2">
        <v>32.650779200000002</v>
      </c>
      <c r="BO4" s="2">
        <v>23.283709999999999</v>
      </c>
      <c r="BP4" s="2">
        <v>22.072414500000001</v>
      </c>
      <c r="BQ4" s="2">
        <v>32.334192999999999</v>
      </c>
      <c r="BR4" s="2">
        <v>31.870226200000001</v>
      </c>
      <c r="BS4" s="2">
        <v>32.509831649999903</v>
      </c>
      <c r="BT4" s="2">
        <v>32.935771799999998</v>
      </c>
      <c r="BU4" s="2">
        <v>32.885508000000002</v>
      </c>
      <c r="BV4" s="2">
        <v>34.022359999999999</v>
      </c>
      <c r="BW4" s="2">
        <v>34.044888999999998</v>
      </c>
      <c r="BX4" s="2">
        <v>33.74792995</v>
      </c>
      <c r="BY4" s="2">
        <v>34.264569999999999</v>
      </c>
      <c r="BZ4" s="2">
        <v>33.830286999999998</v>
      </c>
      <c r="CA4" s="2">
        <v>34.226412000000003</v>
      </c>
      <c r="CB4" s="2">
        <v>34.259878</v>
      </c>
      <c r="CC4" s="2">
        <v>27.154512</v>
      </c>
      <c r="CD4" s="2">
        <v>26.126337800000002</v>
      </c>
      <c r="CE4" s="2">
        <v>27.940120400000001</v>
      </c>
      <c r="CF4" s="2">
        <v>26.74</v>
      </c>
      <c r="CH4" s="1" t="s">
        <v>4</v>
      </c>
      <c r="CI4" s="1">
        <v>0</v>
      </c>
      <c r="CJ4" s="1">
        <v>1</v>
      </c>
      <c r="CK4" s="1">
        <v>1</v>
      </c>
      <c r="CL4" s="1">
        <v>1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  <c r="CR4" s="1">
        <v>0</v>
      </c>
      <c r="CS4" s="1">
        <v>0</v>
      </c>
      <c r="CT4" s="1">
        <v>0</v>
      </c>
      <c r="CU4" s="1">
        <v>0</v>
      </c>
      <c r="CV4" s="1">
        <v>0</v>
      </c>
      <c r="CW4" s="1">
        <v>0</v>
      </c>
      <c r="CX4" s="1">
        <v>0</v>
      </c>
      <c r="CY4" s="1">
        <v>0</v>
      </c>
      <c r="CZ4" s="1">
        <v>1</v>
      </c>
      <c r="DA4" s="1">
        <v>0</v>
      </c>
      <c r="DB4" s="1">
        <v>0</v>
      </c>
      <c r="DC4" s="1">
        <v>1</v>
      </c>
      <c r="DD4" s="1">
        <v>0</v>
      </c>
      <c r="DE4" s="1">
        <v>0</v>
      </c>
      <c r="DF4" s="1">
        <v>0</v>
      </c>
      <c r="DG4" s="1">
        <v>1</v>
      </c>
      <c r="DH4" s="1">
        <v>1</v>
      </c>
      <c r="DI4" s="1">
        <v>0</v>
      </c>
      <c r="DJ4" s="1">
        <v>0</v>
      </c>
      <c r="DK4" s="1">
        <v>1</v>
      </c>
      <c r="DL4" s="1">
        <v>0</v>
      </c>
      <c r="DM4" s="1">
        <v>0</v>
      </c>
      <c r="DN4" s="1">
        <v>0</v>
      </c>
      <c r="DO4" s="1">
        <v>0</v>
      </c>
      <c r="DP4" s="1">
        <v>0</v>
      </c>
      <c r="DQ4" s="1">
        <v>0</v>
      </c>
      <c r="DR4" s="1">
        <v>0</v>
      </c>
      <c r="DS4" s="1">
        <v>0</v>
      </c>
      <c r="DT4" s="1">
        <v>0</v>
      </c>
      <c r="DU4" s="1">
        <v>0</v>
      </c>
      <c r="DV4" s="1">
        <v>0</v>
      </c>
      <c r="DW4" s="1">
        <v>0</v>
      </c>
      <c r="DX4" s="1">
        <v>0</v>
      </c>
      <c r="DY4" s="1">
        <v>0</v>
      </c>
      <c r="DZ4" s="1">
        <v>0</v>
      </c>
      <c r="EA4" s="1">
        <v>0</v>
      </c>
      <c r="EB4" s="1">
        <v>0</v>
      </c>
      <c r="EC4" s="1">
        <v>0</v>
      </c>
      <c r="ED4" s="1">
        <v>0</v>
      </c>
      <c r="EE4" s="1">
        <v>0</v>
      </c>
      <c r="EF4" s="1">
        <v>0</v>
      </c>
      <c r="EG4" s="1">
        <v>0</v>
      </c>
      <c r="EH4" s="1">
        <v>0</v>
      </c>
      <c r="EI4" s="1">
        <v>0</v>
      </c>
      <c r="EJ4" s="1">
        <v>0</v>
      </c>
      <c r="EK4" s="1">
        <v>0</v>
      </c>
      <c r="EL4" s="1">
        <v>0</v>
      </c>
      <c r="EM4" s="1">
        <v>0</v>
      </c>
      <c r="EN4" s="1">
        <v>0</v>
      </c>
      <c r="EO4" s="1">
        <v>0</v>
      </c>
      <c r="EP4" s="1">
        <v>0</v>
      </c>
      <c r="EQ4" s="1">
        <v>1</v>
      </c>
      <c r="ER4" s="1">
        <v>1</v>
      </c>
      <c r="ES4" s="1">
        <v>0</v>
      </c>
      <c r="ET4" s="1">
        <v>0</v>
      </c>
      <c r="EU4" s="1">
        <v>0</v>
      </c>
      <c r="EV4" s="1">
        <v>0</v>
      </c>
      <c r="EW4" s="1">
        <v>0</v>
      </c>
      <c r="EX4" s="1">
        <v>0</v>
      </c>
      <c r="EY4" s="1">
        <v>0</v>
      </c>
      <c r="EZ4" s="1">
        <v>0</v>
      </c>
      <c r="FA4" s="1">
        <v>0</v>
      </c>
      <c r="FB4" s="1">
        <v>0</v>
      </c>
      <c r="FC4" s="1">
        <v>0</v>
      </c>
      <c r="FD4" s="1">
        <v>0</v>
      </c>
      <c r="FE4" s="1">
        <f>SUM(CI4:FD4)-1</f>
        <v>9</v>
      </c>
    </row>
    <row r="5" spans="2:161" ht="15.75" thickBot="1" x14ac:dyDescent="0.3">
      <c r="B5" s="1" t="s">
        <v>14</v>
      </c>
      <c r="C5" s="1">
        <v>9</v>
      </c>
      <c r="E5" s="1" t="s">
        <v>6</v>
      </c>
      <c r="F5" s="1">
        <v>5</v>
      </c>
      <c r="H5" s="3"/>
      <c r="I5" s="3"/>
      <c r="J5" s="4"/>
      <c r="K5" s="2">
        <v>-2.0362448226773799</v>
      </c>
      <c r="L5" s="2">
        <v>-2.9125472000000001</v>
      </c>
      <c r="M5" s="2">
        <v>-3.3910049999999998</v>
      </c>
      <c r="N5" s="2">
        <v>-2.1599789999999999</v>
      </c>
      <c r="O5" s="2">
        <v>-2.3294087000000001</v>
      </c>
      <c r="P5" s="2">
        <v>-3.3523450000000001</v>
      </c>
      <c r="Q5" s="2">
        <v>-2.6287658129870102</v>
      </c>
      <c r="R5" s="2">
        <v>-7.9891607999999996</v>
      </c>
      <c r="S5" s="2">
        <v>-8.7595462000000008</v>
      </c>
      <c r="T5" s="2">
        <v>-9.7678788000000001</v>
      </c>
      <c r="U5" s="2">
        <v>-7.4067600000000002</v>
      </c>
      <c r="V5" s="2">
        <v>-9.7620903000000006</v>
      </c>
      <c r="W5" s="2">
        <v>-2.1460313000000002</v>
      </c>
      <c r="X5" s="2">
        <v>-9.2305540325306605</v>
      </c>
      <c r="Y5" s="2">
        <v>-8.5324390000000001</v>
      </c>
      <c r="Z5" s="2">
        <v>-4.4340807</v>
      </c>
      <c r="AA5" s="2">
        <v>-6.9109230000000004</v>
      </c>
      <c r="AB5" s="2">
        <v>-4.739897</v>
      </c>
      <c r="AC5" s="2">
        <v>-5.5311640000000004</v>
      </c>
      <c r="AD5" s="2">
        <v>-5.8371389999999996</v>
      </c>
      <c r="AE5" s="2">
        <v>-5.0161926000000001</v>
      </c>
      <c r="AF5" s="2">
        <v>-5.5320345</v>
      </c>
      <c r="AG5" s="2">
        <v>-5.4928593107677104</v>
      </c>
      <c r="AH5" s="2">
        <v>-5.1074080000000004</v>
      </c>
      <c r="AI5" s="2">
        <v>-5.1794349999999998</v>
      </c>
      <c r="AJ5" s="2">
        <v>-4.8333360000000001</v>
      </c>
      <c r="AK5" s="2">
        <v>-4.72957502174763</v>
      </c>
      <c r="AL5" s="2">
        <v>-4.6359940000000002</v>
      </c>
      <c r="AM5" s="2">
        <v>-4.0101040000000001</v>
      </c>
      <c r="AN5" s="2">
        <v>-10.057435099999999</v>
      </c>
      <c r="AO5" s="2">
        <v>-9.0496748</v>
      </c>
      <c r="AP5" s="2">
        <v>-11.098663999999999</v>
      </c>
      <c r="AQ5" s="2">
        <v>-10.1715632</v>
      </c>
      <c r="AR5" s="2">
        <v>-5.8032309</v>
      </c>
      <c r="AS5" s="2">
        <v>-5.3232160999999998</v>
      </c>
      <c r="AT5" s="2">
        <v>-5.3742776000000001</v>
      </c>
      <c r="AU5" s="2">
        <v>-5.6520578169223104</v>
      </c>
      <c r="AV5" s="2">
        <v>-6.1529129999999999</v>
      </c>
      <c r="AW5" s="2">
        <v>-3.930186</v>
      </c>
      <c r="AX5" s="2">
        <v>-5.2766582971063896</v>
      </c>
      <c r="AY5" s="2">
        <v>-5.5784929999999999</v>
      </c>
      <c r="AZ5" s="2">
        <v>-9.6044298000000001</v>
      </c>
      <c r="BA5" s="2">
        <v>-9.5459347000000001</v>
      </c>
      <c r="BB5" s="2">
        <v>-9.3334412508485691</v>
      </c>
      <c r="BC5" s="2">
        <v>-8.8669276000000004</v>
      </c>
      <c r="BD5" s="2">
        <v>-9.7312814999999997</v>
      </c>
      <c r="BE5" s="2">
        <v>-7.9696050999999999</v>
      </c>
      <c r="BF5" s="2">
        <v>-7.6200283999999998</v>
      </c>
      <c r="BG5" s="2">
        <v>-7.3893291999999997</v>
      </c>
      <c r="BH5" s="2">
        <v>-8.5004248007416603</v>
      </c>
      <c r="BI5" s="2">
        <v>-7.6189140000000002</v>
      </c>
      <c r="BJ5" s="2">
        <v>-7.5194400000000003</v>
      </c>
      <c r="BK5" s="2">
        <v>-7.1230360422331502</v>
      </c>
      <c r="BL5" s="2">
        <v>-7.5811465</v>
      </c>
      <c r="BM5" s="2">
        <v>-7.6198670000000002</v>
      </c>
      <c r="BN5" s="2">
        <v>-8.4242086999999994</v>
      </c>
      <c r="BO5" s="2">
        <v>-15.020262199999999</v>
      </c>
      <c r="BP5" s="2">
        <v>-14.445243230159999</v>
      </c>
      <c r="BQ5" s="2">
        <v>-6.3533350000000004</v>
      </c>
      <c r="BR5" s="2">
        <v>-6.4322478721500298</v>
      </c>
      <c r="BS5" s="2">
        <v>-6.8545211743695402</v>
      </c>
      <c r="BT5" s="2">
        <v>-5.6696504000000001</v>
      </c>
      <c r="BU5" s="2">
        <v>-6.9092380000000002</v>
      </c>
      <c r="BV5" s="2">
        <v>-6.8340221999999997</v>
      </c>
      <c r="BW5" s="2">
        <v>-6.8140169999999998</v>
      </c>
      <c r="BX5" s="2">
        <v>-6.8792204474033296</v>
      </c>
      <c r="BY5" s="2">
        <v>-6.5701689999999999</v>
      </c>
      <c r="BZ5" s="2">
        <v>-6.0726050000000003</v>
      </c>
      <c r="CA5" s="2">
        <v>-5.7114339999999997</v>
      </c>
      <c r="CB5" s="2">
        <v>-5.9272530000000003</v>
      </c>
      <c r="CC5" s="2">
        <v>-13.195392099999999</v>
      </c>
      <c r="CD5" s="2">
        <v>-14.4836537</v>
      </c>
      <c r="CE5" s="2">
        <v>-12.9249934</v>
      </c>
      <c r="CF5" s="2">
        <v>-11.67</v>
      </c>
      <c r="CH5" s="1" t="s">
        <v>5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1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  <c r="EU5" s="1">
        <v>0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A5" s="1">
        <v>0</v>
      </c>
      <c r="FB5" s="1">
        <v>0</v>
      </c>
      <c r="FC5" s="1">
        <v>0</v>
      </c>
      <c r="FD5" s="1">
        <v>0</v>
      </c>
      <c r="FE5" s="1">
        <f t="shared" ref="FE5:FE68" si="0">SUM(CI5:FD5)-1</f>
        <v>0</v>
      </c>
    </row>
    <row r="6" spans="2:161" ht="15.75" thickBot="1" x14ac:dyDescent="0.3">
      <c r="B6" t="s">
        <v>15</v>
      </c>
      <c r="C6">
        <v>13</v>
      </c>
      <c r="E6" s="1" t="s">
        <v>7</v>
      </c>
      <c r="F6" s="1">
        <v>8</v>
      </c>
      <c r="H6" s="1" t="s">
        <v>90</v>
      </c>
      <c r="I6" s="2">
        <v>34.668327599999998</v>
      </c>
      <c r="J6" s="2">
        <v>-2.0362448226773799</v>
      </c>
      <c r="K6" s="5">
        <v>9999999</v>
      </c>
      <c r="L6" s="1">
        <f t="shared" ref="L6:BW7" si="1">SQRT(POWER($I6-L$4,2)+POWER(L$5-$J6,2))</f>
        <v>1.0286301860515836</v>
      </c>
      <c r="M6" s="1">
        <f t="shared" si="1"/>
        <v>1.3894663549337845</v>
      </c>
      <c r="N6" s="1">
        <f t="shared" si="1"/>
        <v>0.37858757719881114</v>
      </c>
      <c r="O6" s="1">
        <f t="shared" si="1"/>
        <v>0.39075401008978056</v>
      </c>
      <c r="P6" s="1">
        <f t="shared" si="1"/>
        <v>1.3885779258115811</v>
      </c>
      <c r="Q6" s="1">
        <f t="shared" si="1"/>
        <v>2.0499429277759091</v>
      </c>
      <c r="R6" s="1">
        <f t="shared" si="1"/>
        <v>6.6853591111148631</v>
      </c>
      <c r="S6" s="1">
        <f t="shared" si="1"/>
        <v>7.4125617077322685</v>
      </c>
      <c r="T6" s="1">
        <f t="shared" si="1"/>
        <v>8.3507316325583343</v>
      </c>
      <c r="U6" s="1">
        <f t="shared" si="1"/>
        <v>5.9728901482162184</v>
      </c>
      <c r="V6" s="1">
        <f t="shared" si="1"/>
        <v>8.3457880055131177</v>
      </c>
      <c r="W6" s="1">
        <f t="shared" si="1"/>
        <v>0.27579912479940971</v>
      </c>
      <c r="X6" s="1">
        <f t="shared" si="1"/>
        <v>7.5850969387002385</v>
      </c>
      <c r="Y6" s="1">
        <f t="shared" si="1"/>
        <v>6.9331936304410142</v>
      </c>
      <c r="Z6" s="1">
        <f t="shared" si="1"/>
        <v>3.6404731838465012</v>
      </c>
      <c r="AA6" s="1">
        <f t="shared" si="1"/>
        <v>6.1490649949551281</v>
      </c>
      <c r="AB6" s="1">
        <f t="shared" si="1"/>
        <v>3.3558608376864654</v>
      </c>
      <c r="AC6" s="1">
        <f t="shared" si="1"/>
        <v>4.7029835158570537</v>
      </c>
      <c r="AD6" s="1">
        <f t="shared" si="1"/>
        <v>5.7693098721441309</v>
      </c>
      <c r="AE6" s="1">
        <f t="shared" si="1"/>
        <v>3.0465770542226003</v>
      </c>
      <c r="AF6" s="1">
        <f t="shared" si="1"/>
        <v>3.5796842870727779</v>
      </c>
      <c r="AG6" s="1">
        <f t="shared" si="1"/>
        <v>3.5900224840534887</v>
      </c>
      <c r="AH6" s="1">
        <f t="shared" si="1"/>
        <v>3.2761702202256107</v>
      </c>
      <c r="AI6" s="1">
        <f t="shared" si="1"/>
        <v>3.1964108568407719</v>
      </c>
      <c r="AJ6" s="1">
        <f t="shared" si="1"/>
        <v>2.9214880702156223</v>
      </c>
      <c r="AK6" s="1">
        <f t="shared" si="1"/>
        <v>2.9926294088034071</v>
      </c>
      <c r="AL6" s="1">
        <f t="shared" si="1"/>
        <v>2.6029900543436963</v>
      </c>
      <c r="AM6" s="1">
        <f t="shared" si="1"/>
        <v>2.0219088207165736</v>
      </c>
      <c r="AN6" s="1">
        <f t="shared" si="1"/>
        <v>9.8297488727806588</v>
      </c>
      <c r="AO6" s="1">
        <f t="shared" si="1"/>
        <v>10.090463690029996</v>
      </c>
      <c r="AP6" s="1">
        <f t="shared" si="1"/>
        <v>10.997726740627352</v>
      </c>
      <c r="AQ6" s="1">
        <f t="shared" si="1"/>
        <v>9.7035594536607235</v>
      </c>
      <c r="AR6" s="1">
        <f t="shared" si="1"/>
        <v>3.9268691517651462</v>
      </c>
      <c r="AS6" s="1">
        <f t="shared" si="1"/>
        <v>3.440126530373663</v>
      </c>
      <c r="AT6" s="1">
        <f t="shared" si="1"/>
        <v>3.457714788030807</v>
      </c>
      <c r="AU6" s="1">
        <f t="shared" si="1"/>
        <v>3.7766985421197572</v>
      </c>
      <c r="AV6" s="1">
        <f t="shared" si="1"/>
        <v>4.1502513016185842</v>
      </c>
      <c r="AW6" s="1">
        <f t="shared" si="1"/>
        <v>1.9798221471594755</v>
      </c>
      <c r="AX6" s="1">
        <f t="shared" si="1"/>
        <v>3.2790300650333246</v>
      </c>
      <c r="AY6" s="1">
        <f t="shared" si="1"/>
        <v>3.5445756107790656</v>
      </c>
      <c r="AZ6" s="1">
        <f t="shared" si="1"/>
        <v>8.6785740259421829</v>
      </c>
      <c r="BA6" s="1">
        <f t="shared" si="1"/>
        <v>8.6596238548545461</v>
      </c>
      <c r="BB6" s="1">
        <f t="shared" si="1"/>
        <v>8.658358298017232</v>
      </c>
      <c r="BC6" s="1">
        <f t="shared" si="1"/>
        <v>8.0167242411362434</v>
      </c>
      <c r="BD6" s="1">
        <f t="shared" si="1"/>
        <v>9.1603244122243446</v>
      </c>
      <c r="BE6" s="1">
        <f t="shared" si="1"/>
        <v>7.7090994435833622</v>
      </c>
      <c r="BF6" s="1">
        <f t="shared" si="1"/>
        <v>5.6860982955689421</v>
      </c>
      <c r="BG6" s="1">
        <f t="shared" si="1"/>
        <v>5.440702876407606</v>
      </c>
      <c r="BH6" s="1">
        <f t="shared" si="1"/>
        <v>6.6214645594412778</v>
      </c>
      <c r="BI6" s="1">
        <f t="shared" si="1"/>
        <v>5.729516728757039</v>
      </c>
      <c r="BJ6" s="1">
        <f t="shared" si="1"/>
        <v>5.6155639998918714</v>
      </c>
      <c r="BK6" s="1">
        <f t="shared" si="1"/>
        <v>5.1943244125992729</v>
      </c>
      <c r="BL6" s="1">
        <f t="shared" si="1"/>
        <v>5.7190701549801091</v>
      </c>
      <c r="BM6" s="1">
        <f t="shared" si="1"/>
        <v>5.8268483233310056</v>
      </c>
      <c r="BN6" s="1">
        <f t="shared" si="1"/>
        <v>6.6989987344618278</v>
      </c>
      <c r="BO6" s="1">
        <f t="shared" si="1"/>
        <v>17.268301165802196</v>
      </c>
      <c r="BP6" s="1">
        <f t="shared" si="1"/>
        <v>17.681636471199653</v>
      </c>
      <c r="BQ6" s="1">
        <f t="shared" si="1"/>
        <v>4.9076931373153938</v>
      </c>
      <c r="BR6" s="1">
        <f t="shared" si="1"/>
        <v>5.210970567529122</v>
      </c>
      <c r="BS6" s="1">
        <f t="shared" si="1"/>
        <v>5.2796677705555233</v>
      </c>
      <c r="BT6" s="1">
        <f t="shared" si="1"/>
        <v>4.0253429281780164</v>
      </c>
      <c r="BU6" s="1">
        <f t="shared" si="1"/>
        <v>5.1888831392099162</v>
      </c>
      <c r="BV6" s="1">
        <f t="shared" si="1"/>
        <v>4.8410682604770683</v>
      </c>
      <c r="BW6" s="1">
        <f t="shared" si="1"/>
        <v>4.8182759018520391</v>
      </c>
      <c r="BX6" s="1">
        <f t="shared" ref="BX6:CF10" si="2">SQRT(POWER($I6-BX$4,2)+POWER(BX$5-$J6,2))</f>
        <v>4.929659697769738</v>
      </c>
      <c r="BY6" s="1">
        <f t="shared" si="2"/>
        <v>4.5518665012572974</v>
      </c>
      <c r="BZ6" s="1">
        <f t="shared" si="2"/>
        <v>4.1224404820839142</v>
      </c>
      <c r="CA6" s="1">
        <f t="shared" si="2"/>
        <v>3.701662449039981</v>
      </c>
      <c r="CB6" s="1">
        <f t="shared" si="2"/>
        <v>3.9123874695295275</v>
      </c>
      <c r="CC6" s="1">
        <f t="shared" si="2"/>
        <v>13.453029132049783</v>
      </c>
      <c r="CD6" s="1">
        <f t="shared" si="2"/>
        <v>15.096475664954186</v>
      </c>
      <c r="CE6" s="1">
        <f t="shared" si="2"/>
        <v>12.799750689223488</v>
      </c>
      <c r="CF6" s="1">
        <f t="shared" si="2"/>
        <v>12.476682946581279</v>
      </c>
      <c r="CH6" s="1" t="s">
        <v>6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  <c r="CR6" s="1">
        <v>0</v>
      </c>
      <c r="CS6" s="1">
        <v>0</v>
      </c>
      <c r="CT6" s="1">
        <v>0</v>
      </c>
      <c r="CU6" s="1">
        <v>0</v>
      </c>
      <c r="CV6" s="1">
        <v>0</v>
      </c>
      <c r="CW6" s="1">
        <v>0</v>
      </c>
      <c r="CX6" s="1">
        <v>0</v>
      </c>
      <c r="CY6" s="1">
        <v>0</v>
      </c>
      <c r="CZ6" s="1">
        <v>0</v>
      </c>
      <c r="DA6" s="1">
        <v>0</v>
      </c>
      <c r="DB6" s="1">
        <v>0</v>
      </c>
      <c r="DC6" s="1">
        <v>0</v>
      </c>
      <c r="DD6" s="1">
        <v>0</v>
      </c>
      <c r="DE6" s="1">
        <v>0</v>
      </c>
      <c r="DF6" s="1">
        <v>0</v>
      </c>
      <c r="DG6" s="1">
        <v>0</v>
      </c>
      <c r="DH6" s="1">
        <v>0</v>
      </c>
      <c r="DI6" s="1">
        <v>0</v>
      </c>
      <c r="DJ6" s="1">
        <v>0</v>
      </c>
      <c r="DK6" s="1">
        <v>0</v>
      </c>
      <c r="DL6" s="1">
        <v>0</v>
      </c>
      <c r="DM6" s="1">
        <v>0</v>
      </c>
      <c r="DN6" s="1">
        <v>0</v>
      </c>
      <c r="DO6" s="1">
        <v>0</v>
      </c>
      <c r="DP6" s="1">
        <v>0</v>
      </c>
      <c r="DQ6" s="1">
        <v>0</v>
      </c>
      <c r="DR6" s="1">
        <v>0</v>
      </c>
      <c r="DS6" s="1">
        <v>0</v>
      </c>
      <c r="DT6" s="1">
        <v>0</v>
      </c>
      <c r="DU6" s="1">
        <v>1</v>
      </c>
      <c r="DV6" s="1">
        <v>0</v>
      </c>
      <c r="DW6" s="1">
        <v>0</v>
      </c>
      <c r="DX6" s="1">
        <v>0</v>
      </c>
      <c r="DY6" s="1">
        <v>0</v>
      </c>
      <c r="DZ6" s="1">
        <v>0</v>
      </c>
      <c r="EA6" s="1">
        <v>0</v>
      </c>
      <c r="EB6" s="1">
        <v>0</v>
      </c>
      <c r="EC6" s="1">
        <v>0</v>
      </c>
      <c r="ED6" s="1">
        <v>0</v>
      </c>
      <c r="EE6" s="1">
        <v>0</v>
      </c>
      <c r="EF6" s="1">
        <v>0</v>
      </c>
      <c r="EG6" s="1">
        <v>0</v>
      </c>
      <c r="EH6" s="1">
        <v>0</v>
      </c>
      <c r="EI6" s="1">
        <v>0</v>
      </c>
      <c r="EJ6" s="1">
        <v>0</v>
      </c>
      <c r="EK6" s="1">
        <v>0</v>
      </c>
      <c r="EL6" s="1">
        <v>0</v>
      </c>
      <c r="EM6" s="1">
        <v>0</v>
      </c>
      <c r="EN6" s="1">
        <v>0</v>
      </c>
      <c r="EO6" s="1">
        <v>0</v>
      </c>
      <c r="EP6" s="1">
        <v>0</v>
      </c>
      <c r="EQ6" s="1">
        <v>0</v>
      </c>
      <c r="ER6" s="1">
        <v>0</v>
      </c>
      <c r="ES6" s="1">
        <v>0</v>
      </c>
      <c r="ET6" s="1">
        <v>0</v>
      </c>
      <c r="EU6" s="1">
        <v>0</v>
      </c>
      <c r="EV6" s="1">
        <v>0</v>
      </c>
      <c r="EW6" s="1">
        <v>0</v>
      </c>
      <c r="EX6" s="1">
        <v>0</v>
      </c>
      <c r="EY6" s="1">
        <v>0</v>
      </c>
      <c r="EZ6" s="1">
        <v>0</v>
      </c>
      <c r="FA6" s="1">
        <v>0</v>
      </c>
      <c r="FB6" s="1">
        <v>0</v>
      </c>
      <c r="FC6" s="1">
        <v>0</v>
      </c>
      <c r="FD6" s="1">
        <v>0</v>
      </c>
      <c r="FE6" s="1">
        <f t="shared" si="0"/>
        <v>0</v>
      </c>
    </row>
    <row r="7" spans="2:161" ht="15.75" thickBot="1" x14ac:dyDescent="0.3">
      <c r="E7" s="1" t="s">
        <v>13</v>
      </c>
      <c r="F7" s="1">
        <v>3</v>
      </c>
      <c r="H7" s="1" t="s">
        <v>91</v>
      </c>
      <c r="I7" s="2">
        <v>35.207005799999997</v>
      </c>
      <c r="J7" s="2">
        <v>-2.9125472000000001</v>
      </c>
      <c r="K7" s="1">
        <f t="shared" ref="K7:Z70" si="3">SQRT(POWER($I7-K$4,2)+POWER(K$5-$J7,2))</f>
        <v>1.0286301860515836</v>
      </c>
      <c r="L7" s="5">
        <v>9999999</v>
      </c>
      <c r="M7" s="1">
        <f t="shared" si="3"/>
        <v>0.53089748418171934</v>
      </c>
      <c r="N7" s="1">
        <f t="shared" si="3"/>
        <v>1.1704810817293376</v>
      </c>
      <c r="O7" s="1">
        <f t="shared" si="3"/>
        <v>0.64702054625826033</v>
      </c>
      <c r="P7" s="1">
        <f t="shared" si="3"/>
        <v>1.0754657396741569</v>
      </c>
      <c r="Q7" s="1">
        <f t="shared" si="3"/>
        <v>2.5171694686791066</v>
      </c>
      <c r="R7" s="1">
        <f t="shared" si="3"/>
        <v>6.2126368437516897</v>
      </c>
      <c r="S7" s="1">
        <f t="shared" si="3"/>
        <v>6.8980973910569885</v>
      </c>
      <c r="T7" s="1">
        <f t="shared" si="3"/>
        <v>7.7872839772937095</v>
      </c>
      <c r="U7" s="1">
        <f t="shared" si="3"/>
        <v>5.489746204660964</v>
      </c>
      <c r="V7" s="1">
        <f t="shared" si="3"/>
        <v>7.7827102550033871</v>
      </c>
      <c r="W7" s="1">
        <f t="shared" si="3"/>
        <v>0.81801905458932889</v>
      </c>
      <c r="X7" s="1">
        <f t="shared" si="3"/>
        <v>6.9693724157817352</v>
      </c>
      <c r="Y7" s="1">
        <f t="shared" si="3"/>
        <v>6.3523159328901659</v>
      </c>
      <c r="Z7" s="1">
        <f t="shared" si="3"/>
        <v>3.6138349075939353</v>
      </c>
      <c r="AA7" s="1">
        <f t="shared" si="1"/>
        <v>5.8620621815423837</v>
      </c>
      <c r="AB7" s="1">
        <f t="shared" si="1"/>
        <v>3.1182065331176316</v>
      </c>
      <c r="AC7" s="1">
        <f t="shared" si="1"/>
        <v>4.5212122321284447</v>
      </c>
      <c r="AD7" s="1">
        <f t="shared" si="1"/>
        <v>5.6883735165581246</v>
      </c>
      <c r="AE7" s="1">
        <f t="shared" si="1"/>
        <v>2.4082637145310533</v>
      </c>
      <c r="AF7" s="1">
        <f t="shared" si="1"/>
        <v>2.9284009168573073</v>
      </c>
      <c r="AG7" s="1">
        <f t="shared" si="1"/>
        <v>2.9887859527938061</v>
      </c>
      <c r="AH7" s="1">
        <f t="shared" si="1"/>
        <v>2.7636571745455818</v>
      </c>
      <c r="AI7" s="1">
        <f t="shared" si="1"/>
        <v>2.528269207069862</v>
      </c>
      <c r="AJ7" s="1">
        <f t="shared" si="1"/>
        <v>2.3663582959954055</v>
      </c>
      <c r="AK7" s="1">
        <f t="shared" si="1"/>
        <v>2.5882451987987793</v>
      </c>
      <c r="AL7" s="1">
        <f t="shared" si="1"/>
        <v>1.8485672738416292</v>
      </c>
      <c r="AM7" s="1">
        <f t="shared" si="1"/>
        <v>1.4693088220952286</v>
      </c>
      <c r="AN7" s="1">
        <f t="shared" si="1"/>
        <v>9.4734124660921797</v>
      </c>
      <c r="AO7" s="1">
        <f t="shared" si="1"/>
        <v>9.9196551980234773</v>
      </c>
      <c r="AP7" s="1">
        <f t="shared" si="1"/>
        <v>10.622523216009933</v>
      </c>
      <c r="AQ7" s="1">
        <f t="shared" si="1"/>
        <v>9.3090012574140424</v>
      </c>
      <c r="AR7" s="1">
        <f t="shared" si="1"/>
        <v>2.9464284649192796</v>
      </c>
      <c r="AS7" s="1">
        <f t="shared" si="1"/>
        <v>2.4572825801570337</v>
      </c>
      <c r="AT7" s="1">
        <f t="shared" si="1"/>
        <v>2.4883746562993285</v>
      </c>
      <c r="AU7" s="1">
        <f t="shared" si="1"/>
        <v>2.7945492809061578</v>
      </c>
      <c r="AV7" s="1">
        <f t="shared" si="1"/>
        <v>3.2403871873116099</v>
      </c>
      <c r="AW7" s="1">
        <f t="shared" si="1"/>
        <v>1.01835208163615</v>
      </c>
      <c r="AX7" s="1">
        <f t="shared" si="1"/>
        <v>2.3643994074293659</v>
      </c>
      <c r="AY7" s="1">
        <f t="shared" si="1"/>
        <v>2.6973266554941167</v>
      </c>
      <c r="AZ7" s="1">
        <f t="shared" si="1"/>
        <v>8.2272492675612003</v>
      </c>
      <c r="BA7" s="1">
        <f t="shared" si="1"/>
        <v>8.2177396748365439</v>
      </c>
      <c r="BB7" s="1">
        <f t="shared" si="1"/>
        <v>8.2617744028674895</v>
      </c>
      <c r="BC7" s="1">
        <f t="shared" si="1"/>
        <v>7.6075923839147617</v>
      </c>
      <c r="BD7" s="1">
        <f t="shared" si="1"/>
        <v>8.7656949244522373</v>
      </c>
      <c r="BE7" s="1">
        <f t="shared" si="1"/>
        <v>7.442589447007192</v>
      </c>
      <c r="BF7" s="1">
        <f t="shared" si="1"/>
        <v>4.9759931434264848</v>
      </c>
      <c r="BG7" s="1">
        <f t="shared" si="1"/>
        <v>4.7249554800633033</v>
      </c>
      <c r="BH7" s="1">
        <f t="shared" si="1"/>
        <v>5.9260721228266124</v>
      </c>
      <c r="BI7" s="1">
        <f t="shared" si="1"/>
        <v>5.0487418068075982</v>
      </c>
      <c r="BJ7" s="1">
        <f t="shared" si="1"/>
        <v>4.928346948056201</v>
      </c>
      <c r="BK7" s="1">
        <f t="shared" si="1"/>
        <v>4.5007494143495892</v>
      </c>
      <c r="BL7" s="1">
        <f t="shared" si="1"/>
        <v>5.0553758443120653</v>
      </c>
      <c r="BM7" s="1">
        <f t="shared" si="1"/>
        <v>5.1979957349452937</v>
      </c>
      <c r="BN7" s="1">
        <f t="shared" si="1"/>
        <v>6.0755828462074133</v>
      </c>
      <c r="BO7" s="1">
        <f t="shared" si="1"/>
        <v>16.992991062656468</v>
      </c>
      <c r="BP7" s="1">
        <f t="shared" si="1"/>
        <v>17.479146613668064</v>
      </c>
      <c r="BQ7" s="1">
        <f t="shared" si="1"/>
        <v>4.4824183281430434</v>
      </c>
      <c r="BR7" s="1">
        <f t="shared" si="1"/>
        <v>4.8499887546786651</v>
      </c>
      <c r="BS7" s="1">
        <f t="shared" si="1"/>
        <v>4.7763906048433187</v>
      </c>
      <c r="BT7" s="1">
        <f t="shared" si="1"/>
        <v>3.5721312879296918</v>
      </c>
      <c r="BU7" s="1">
        <f t="shared" si="1"/>
        <v>4.6220005826708261</v>
      </c>
      <c r="BV7" s="1">
        <f t="shared" si="1"/>
        <v>4.0965048330354294</v>
      </c>
      <c r="BW7" s="1">
        <f t="shared" si="1"/>
        <v>4.070869938619297</v>
      </c>
      <c r="BX7" s="1">
        <f t="shared" si="2"/>
        <v>4.22651144417219</v>
      </c>
      <c r="BY7" s="1">
        <f t="shared" si="2"/>
        <v>3.7770865053579161</v>
      </c>
      <c r="BZ7" s="1">
        <f t="shared" si="2"/>
        <v>3.4469290612970664</v>
      </c>
      <c r="CA7" s="1">
        <f t="shared" si="2"/>
        <v>2.9656924182748057</v>
      </c>
      <c r="CB7" s="1">
        <f t="shared" si="2"/>
        <v>3.1599845142162444</v>
      </c>
      <c r="CC7" s="1">
        <f t="shared" si="2"/>
        <v>13.060610844692309</v>
      </c>
      <c r="CD7" s="1">
        <f t="shared" si="2"/>
        <v>14.708808142081606</v>
      </c>
      <c r="CE7" s="1">
        <f t="shared" si="2"/>
        <v>12.371608720155496</v>
      </c>
      <c r="CF7" s="1">
        <f t="shared" si="2"/>
        <v>12.18126293786738</v>
      </c>
      <c r="CH7" s="1" t="s">
        <v>7</v>
      </c>
      <c r="CI7" s="1">
        <v>1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  <c r="CR7" s="1">
        <v>0</v>
      </c>
      <c r="CS7" s="1">
        <v>0</v>
      </c>
      <c r="CT7" s="1">
        <v>0</v>
      </c>
      <c r="CU7" s="1">
        <v>0</v>
      </c>
      <c r="CV7" s="1">
        <v>0</v>
      </c>
      <c r="CW7" s="1">
        <v>0</v>
      </c>
      <c r="CX7" s="1">
        <v>0</v>
      </c>
      <c r="CY7" s="1">
        <v>0</v>
      </c>
      <c r="CZ7" s="1">
        <v>0</v>
      </c>
      <c r="DA7" s="1">
        <v>0</v>
      </c>
      <c r="DB7" s="1">
        <v>0</v>
      </c>
      <c r="DC7" s="1">
        <v>0</v>
      </c>
      <c r="DD7" s="1">
        <v>0</v>
      </c>
      <c r="DE7" s="1">
        <v>0</v>
      </c>
      <c r="DF7" s="1">
        <v>0</v>
      </c>
      <c r="DG7" s="1">
        <v>0</v>
      </c>
      <c r="DH7" s="1">
        <v>0</v>
      </c>
      <c r="DI7" s="1">
        <v>0</v>
      </c>
      <c r="DJ7" s="1">
        <v>0</v>
      </c>
      <c r="DK7" s="1">
        <v>0</v>
      </c>
      <c r="DL7" s="1">
        <v>0</v>
      </c>
      <c r="DM7" s="1">
        <v>0</v>
      </c>
      <c r="DN7" s="1">
        <v>0</v>
      </c>
      <c r="DO7" s="1">
        <v>0</v>
      </c>
      <c r="DP7" s="1">
        <v>0</v>
      </c>
      <c r="DQ7" s="1">
        <v>0</v>
      </c>
      <c r="DR7" s="1">
        <v>0</v>
      </c>
      <c r="DS7" s="1">
        <v>0</v>
      </c>
      <c r="DT7" s="1">
        <v>0</v>
      </c>
      <c r="DU7" s="1">
        <v>0</v>
      </c>
      <c r="DV7" s="1">
        <v>0</v>
      </c>
      <c r="DW7" s="1">
        <v>0</v>
      </c>
      <c r="DX7" s="1">
        <v>0</v>
      </c>
      <c r="DY7" s="1">
        <v>0</v>
      </c>
      <c r="DZ7" s="1">
        <v>0</v>
      </c>
      <c r="EA7" s="1">
        <v>0</v>
      </c>
      <c r="EB7" s="1">
        <v>0</v>
      </c>
      <c r="EC7" s="1">
        <v>0</v>
      </c>
      <c r="ED7" s="1">
        <v>0</v>
      </c>
      <c r="EE7" s="1">
        <v>0</v>
      </c>
      <c r="EF7" s="1">
        <v>0</v>
      </c>
      <c r="EG7" s="1">
        <v>0</v>
      </c>
      <c r="EH7" s="1">
        <v>0</v>
      </c>
      <c r="EI7" s="1">
        <v>0</v>
      </c>
      <c r="EJ7" s="1">
        <v>0</v>
      </c>
      <c r="EK7" s="1">
        <v>0</v>
      </c>
      <c r="EL7" s="1">
        <v>0</v>
      </c>
      <c r="EM7" s="1">
        <v>0</v>
      </c>
      <c r="EN7" s="1">
        <v>0</v>
      </c>
      <c r="EO7" s="1">
        <v>0</v>
      </c>
      <c r="EP7" s="1">
        <v>0</v>
      </c>
      <c r="EQ7" s="1">
        <v>0</v>
      </c>
      <c r="ER7" s="1">
        <v>0</v>
      </c>
      <c r="ES7" s="1">
        <v>0</v>
      </c>
      <c r="ET7" s="1">
        <v>0</v>
      </c>
      <c r="EU7" s="1">
        <v>0</v>
      </c>
      <c r="EV7" s="1">
        <v>0</v>
      </c>
      <c r="EW7" s="1">
        <v>0</v>
      </c>
      <c r="EX7" s="1">
        <v>0</v>
      </c>
      <c r="EY7" s="1">
        <v>0</v>
      </c>
      <c r="EZ7" s="1">
        <v>0</v>
      </c>
      <c r="FA7" s="1">
        <v>0</v>
      </c>
      <c r="FB7" s="1">
        <v>0</v>
      </c>
      <c r="FC7" s="1">
        <v>0</v>
      </c>
      <c r="FD7" s="1">
        <v>0</v>
      </c>
      <c r="FE7" s="1">
        <f t="shared" si="0"/>
        <v>0</v>
      </c>
    </row>
    <row r="8" spans="2:161" ht="15.75" thickBot="1" x14ac:dyDescent="0.3">
      <c r="E8" s="1" t="s">
        <v>21</v>
      </c>
      <c r="F8" s="1">
        <v>4</v>
      </c>
      <c r="H8" s="1" t="s">
        <v>92</v>
      </c>
      <c r="I8" s="2">
        <v>34.976939999999999</v>
      </c>
      <c r="J8" s="2">
        <v>-3.3910049999999998</v>
      </c>
      <c r="K8" s="1">
        <f t="shared" si="3"/>
        <v>1.3894663549337845</v>
      </c>
      <c r="L8" s="1">
        <f t="shared" ref="L8:BW11" si="4">SQRT(POWER($I8-L$4,2)+POWER(L$5-$J8,2))</f>
        <v>0.53089748418171934</v>
      </c>
      <c r="M8" s="5">
        <v>9999999</v>
      </c>
      <c r="N8" s="1">
        <f t="shared" si="4"/>
        <v>1.3998306926042885</v>
      </c>
      <c r="O8" s="1">
        <f t="shared" si="4"/>
        <v>1.0627855965028596</v>
      </c>
      <c r="P8" s="1">
        <f t="shared" si="4"/>
        <v>0.75235793083877545</v>
      </c>
      <c r="Q8" s="1">
        <f t="shared" si="4"/>
        <v>2.3955592109889978</v>
      </c>
      <c r="R8" s="1">
        <f t="shared" si="4"/>
        <v>5.6897279208006175</v>
      </c>
      <c r="S8" s="1">
        <f t="shared" si="4"/>
        <v>6.3707445702558454</v>
      </c>
      <c r="T8" s="1">
        <f t="shared" si="4"/>
        <v>7.2569902579308536</v>
      </c>
      <c r="U8" s="1">
        <f t="shared" si="4"/>
        <v>4.9666827392259512</v>
      </c>
      <c r="V8" s="1">
        <f t="shared" si="4"/>
        <v>7.2524291364616387</v>
      </c>
      <c r="W8" s="1">
        <f t="shared" si="4"/>
        <v>1.2462148989204787</v>
      </c>
      <c r="X8" s="1">
        <f t="shared" si="4"/>
        <v>6.4385192847318198</v>
      </c>
      <c r="Y8" s="1">
        <f t="shared" si="4"/>
        <v>5.821809324744069</v>
      </c>
      <c r="Z8" s="1">
        <f t="shared" si="4"/>
        <v>3.2213976212401159</v>
      </c>
      <c r="AA8" s="1">
        <f t="shared" si="4"/>
        <v>5.3709420913591117</v>
      </c>
      <c r="AB8" s="1">
        <f t="shared" si="4"/>
        <v>2.663428060848088</v>
      </c>
      <c r="AC8" s="1">
        <f t="shared" si="4"/>
        <v>4.0646673932046404</v>
      </c>
      <c r="AD8" s="1">
        <f t="shared" si="4"/>
        <v>5.2531789656341417</v>
      </c>
      <c r="AE8" s="1">
        <f t="shared" si="4"/>
        <v>1.8786002160473931</v>
      </c>
      <c r="AF8" s="1">
        <f t="shared" si="4"/>
        <v>2.3975788366264927</v>
      </c>
      <c r="AG8" s="1">
        <f t="shared" si="4"/>
        <v>2.4599913124655979</v>
      </c>
      <c r="AH8" s="1">
        <f t="shared" si="4"/>
        <v>2.2464663809267202</v>
      </c>
      <c r="AI8" s="1">
        <f t="shared" si="4"/>
        <v>1.9974088974679161</v>
      </c>
      <c r="AJ8" s="1">
        <f t="shared" si="4"/>
        <v>1.8459467715308056</v>
      </c>
      <c r="AK8" s="1">
        <f t="shared" si="4"/>
        <v>2.096187947946246</v>
      </c>
      <c r="AL8" s="1">
        <f t="shared" si="4"/>
        <v>1.3199425326191279</v>
      </c>
      <c r="AM8" s="1">
        <f t="shared" si="4"/>
        <v>0.97003680756247279</v>
      </c>
      <c r="AN8" s="1">
        <f t="shared" si="4"/>
        <v>8.9625909808486206</v>
      </c>
      <c r="AO8" s="1">
        <f t="shared" si="4"/>
        <v>9.4457801969458313</v>
      </c>
      <c r="AP8" s="1">
        <f t="shared" si="4"/>
        <v>10.107996319550674</v>
      </c>
      <c r="AQ8" s="1">
        <f t="shared" si="4"/>
        <v>8.7926957708727382</v>
      </c>
      <c r="AR8" s="1">
        <f t="shared" si="4"/>
        <v>2.5415791541413033</v>
      </c>
      <c r="AS8" s="1">
        <f t="shared" si="4"/>
        <v>2.0572964465033348</v>
      </c>
      <c r="AT8" s="1">
        <f t="shared" si="4"/>
        <v>2.070096126061725</v>
      </c>
      <c r="AU8" s="1">
        <f t="shared" si="4"/>
        <v>2.3924509108251981</v>
      </c>
      <c r="AV8" s="1">
        <f t="shared" si="4"/>
        <v>2.7705211609618305</v>
      </c>
      <c r="AW8" s="1">
        <f t="shared" si="4"/>
        <v>0.60219053881392159</v>
      </c>
      <c r="AX8" s="1">
        <f t="shared" si="4"/>
        <v>1.8955190984515136</v>
      </c>
      <c r="AY8" s="1">
        <f t="shared" si="4"/>
        <v>2.1948962762811823</v>
      </c>
      <c r="AZ8" s="1">
        <f t="shared" si="4"/>
        <v>7.7047842224775955</v>
      </c>
      <c r="BA8" s="1">
        <f t="shared" si="4"/>
        <v>7.6963328432884506</v>
      </c>
      <c r="BB8" s="1">
        <f t="shared" si="4"/>
        <v>7.7461161596722281</v>
      </c>
      <c r="BC8" s="1">
        <f t="shared" si="4"/>
        <v>7.0908901195267662</v>
      </c>
      <c r="BD8" s="1">
        <f t="shared" si="4"/>
        <v>8.2498318705479239</v>
      </c>
      <c r="BE8" s="1">
        <f t="shared" si="4"/>
        <v>6.9514179313305569</v>
      </c>
      <c r="BF8" s="1">
        <f t="shared" si="4"/>
        <v>4.4492403236151352</v>
      </c>
      <c r="BG8" s="1">
        <f t="shared" si="4"/>
        <v>4.1985495083479165</v>
      </c>
      <c r="BH8" s="1">
        <f t="shared" si="4"/>
        <v>5.3986177057593165</v>
      </c>
      <c r="BI8" s="1">
        <f t="shared" si="4"/>
        <v>4.5196394643716866</v>
      </c>
      <c r="BJ8" s="1">
        <f t="shared" si="4"/>
        <v>4.3995989117129755</v>
      </c>
      <c r="BK8" s="1">
        <f t="shared" si="4"/>
        <v>3.9721333886171206</v>
      </c>
      <c r="BL8" s="1">
        <f t="shared" si="4"/>
        <v>4.5253589910259508</v>
      </c>
      <c r="BM8" s="1">
        <f t="shared" si="4"/>
        <v>4.667129082625955</v>
      </c>
      <c r="BN8" s="1">
        <f t="shared" si="4"/>
        <v>5.5447419735412673</v>
      </c>
      <c r="BO8" s="1">
        <f t="shared" si="4"/>
        <v>16.491550893007357</v>
      </c>
      <c r="BP8" s="1">
        <f t="shared" si="4"/>
        <v>16.991849847185005</v>
      </c>
      <c r="BQ8" s="1">
        <f t="shared" si="4"/>
        <v>3.9698250257295982</v>
      </c>
      <c r="BR8" s="1">
        <f t="shared" si="4"/>
        <v>4.347508348757227</v>
      </c>
      <c r="BS8" s="1">
        <f t="shared" si="4"/>
        <v>4.2523602741018562</v>
      </c>
      <c r="BT8" s="1">
        <f t="shared" si="4"/>
        <v>3.0591816682950372</v>
      </c>
      <c r="BU8" s="1">
        <f t="shared" si="4"/>
        <v>4.092926978692998</v>
      </c>
      <c r="BV8" s="1">
        <f t="shared" si="4"/>
        <v>3.5728966422072497</v>
      </c>
      <c r="BW8" s="1">
        <f t="shared" si="4"/>
        <v>3.5476372727133483</v>
      </c>
      <c r="BX8" s="1">
        <f t="shared" si="2"/>
        <v>3.6983932606612044</v>
      </c>
      <c r="BY8" s="1">
        <f t="shared" si="2"/>
        <v>3.2579985813066279</v>
      </c>
      <c r="BZ8" s="1">
        <f t="shared" si="2"/>
        <v>2.9164690401938098</v>
      </c>
      <c r="CA8" s="1">
        <f t="shared" si="2"/>
        <v>2.4387872032682543</v>
      </c>
      <c r="CB8" s="1">
        <f t="shared" si="2"/>
        <v>2.6356653485122123</v>
      </c>
      <c r="CC8" s="1">
        <f t="shared" si="2"/>
        <v>12.542582916681491</v>
      </c>
      <c r="CD8" s="1">
        <f t="shared" si="2"/>
        <v>14.190842627703843</v>
      </c>
      <c r="CE8" s="1">
        <f t="shared" si="2"/>
        <v>11.849631424406359</v>
      </c>
      <c r="CF8" s="1">
        <f t="shared" si="2"/>
        <v>11.678567496642087</v>
      </c>
      <c r="CH8" s="1" t="s">
        <v>13</v>
      </c>
      <c r="CI8" s="1">
        <v>1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  <c r="CR8" s="1">
        <v>0</v>
      </c>
      <c r="CS8" s="1">
        <v>0</v>
      </c>
      <c r="CT8" s="1">
        <v>0</v>
      </c>
      <c r="CU8" s="1">
        <v>0</v>
      </c>
      <c r="CV8" s="1">
        <v>0</v>
      </c>
      <c r="CW8" s="1">
        <v>0</v>
      </c>
      <c r="CX8" s="1">
        <v>0</v>
      </c>
      <c r="CY8" s="1">
        <v>0</v>
      </c>
      <c r="CZ8" s="1">
        <v>0</v>
      </c>
      <c r="DA8" s="1">
        <v>0</v>
      </c>
      <c r="DB8" s="1">
        <v>0</v>
      </c>
      <c r="DC8" s="1">
        <v>0</v>
      </c>
      <c r="DD8" s="1">
        <v>0</v>
      </c>
      <c r="DE8" s="1">
        <v>0</v>
      </c>
      <c r="DF8" s="1">
        <v>0</v>
      </c>
      <c r="DG8" s="1">
        <v>0</v>
      </c>
      <c r="DH8" s="1">
        <v>0</v>
      </c>
      <c r="DI8" s="1">
        <v>0</v>
      </c>
      <c r="DJ8" s="1">
        <v>0</v>
      </c>
      <c r="DK8" s="1">
        <v>0</v>
      </c>
      <c r="DL8" s="1">
        <v>0</v>
      </c>
      <c r="DM8" s="1">
        <v>0</v>
      </c>
      <c r="DN8" s="1">
        <v>0</v>
      </c>
      <c r="DO8" s="1">
        <v>0</v>
      </c>
      <c r="DP8" s="1">
        <v>0</v>
      </c>
      <c r="DQ8" s="1">
        <v>0</v>
      </c>
      <c r="DR8" s="1">
        <v>0</v>
      </c>
      <c r="DS8" s="1">
        <v>0</v>
      </c>
      <c r="DT8" s="1">
        <v>0</v>
      </c>
      <c r="DU8" s="1">
        <v>0</v>
      </c>
      <c r="DV8" s="1">
        <v>0</v>
      </c>
      <c r="DW8" s="1">
        <v>0</v>
      </c>
      <c r="DX8" s="1">
        <v>0</v>
      </c>
      <c r="DY8" s="1">
        <v>0</v>
      </c>
      <c r="DZ8" s="1">
        <v>0</v>
      </c>
      <c r="EA8" s="1">
        <v>0</v>
      </c>
      <c r="EB8" s="1">
        <v>0</v>
      </c>
      <c r="EC8" s="1">
        <v>0</v>
      </c>
      <c r="ED8" s="1">
        <v>0</v>
      </c>
      <c r="EE8" s="1">
        <v>0</v>
      </c>
      <c r="EF8" s="1">
        <v>0</v>
      </c>
      <c r="EG8" s="1">
        <v>0</v>
      </c>
      <c r="EH8" s="1">
        <v>0</v>
      </c>
      <c r="EI8" s="1">
        <v>0</v>
      </c>
      <c r="EJ8" s="1">
        <v>0</v>
      </c>
      <c r="EK8" s="1">
        <v>0</v>
      </c>
      <c r="EL8" s="1">
        <v>0</v>
      </c>
      <c r="EM8" s="1">
        <v>0</v>
      </c>
      <c r="EN8" s="1">
        <v>0</v>
      </c>
      <c r="EO8" s="1">
        <v>0</v>
      </c>
      <c r="EP8" s="1">
        <v>0</v>
      </c>
      <c r="EQ8" s="1">
        <v>0</v>
      </c>
      <c r="ER8" s="1">
        <v>0</v>
      </c>
      <c r="ES8" s="1">
        <v>0</v>
      </c>
      <c r="ET8" s="1">
        <v>0</v>
      </c>
      <c r="EU8" s="1">
        <v>0</v>
      </c>
      <c r="EV8" s="1">
        <v>0</v>
      </c>
      <c r="EW8" s="1">
        <v>0</v>
      </c>
      <c r="EX8" s="1">
        <v>0</v>
      </c>
      <c r="EY8" s="1">
        <v>0</v>
      </c>
      <c r="EZ8" s="1">
        <v>0</v>
      </c>
      <c r="FA8" s="1">
        <v>0</v>
      </c>
      <c r="FB8" s="1">
        <v>0</v>
      </c>
      <c r="FC8" s="1">
        <v>0</v>
      </c>
      <c r="FD8" s="1">
        <v>0</v>
      </c>
      <c r="FE8" s="1">
        <f t="shared" si="0"/>
        <v>0</v>
      </c>
    </row>
    <row r="9" spans="2:161" ht="15.75" thickBot="1" x14ac:dyDescent="0.3">
      <c r="E9" s="1" t="s">
        <v>22</v>
      </c>
      <c r="F9" s="1">
        <v>8</v>
      </c>
      <c r="H9" s="1" t="s">
        <v>93</v>
      </c>
      <c r="I9" s="2">
        <v>34.310530999999997</v>
      </c>
      <c r="J9" s="2">
        <v>-2.1599789999999999</v>
      </c>
      <c r="K9" s="1">
        <f t="shared" si="3"/>
        <v>0.37858757719881114</v>
      </c>
      <c r="L9" s="1">
        <f t="shared" si="4"/>
        <v>1.1704810817293376</v>
      </c>
      <c r="M9" s="1">
        <f t="shared" si="4"/>
        <v>1.3998306926042885</v>
      </c>
      <c r="N9" s="5">
        <v>9999999</v>
      </c>
      <c r="O9" s="1">
        <f t="shared" si="4"/>
        <v>0.63901523309100028</v>
      </c>
      <c r="P9" s="1">
        <f t="shared" si="4"/>
        <v>1.1953886522721389</v>
      </c>
      <c r="Q9" s="1">
        <f t="shared" si="4"/>
        <v>1.6717215888536936</v>
      </c>
      <c r="R9" s="1">
        <f t="shared" si="4"/>
        <v>6.417710106050234</v>
      </c>
      <c r="S9" s="1">
        <f t="shared" si="4"/>
        <v>7.1548532683433228</v>
      </c>
      <c r="T9" s="1">
        <f t="shared" si="4"/>
        <v>8.1059687382951644</v>
      </c>
      <c r="U9" s="1">
        <f t="shared" si="4"/>
        <v>5.7113180452818417</v>
      </c>
      <c r="V9" s="1">
        <f t="shared" si="4"/>
        <v>8.1009156359053698</v>
      </c>
      <c r="W9" s="1">
        <f t="shared" si="4"/>
        <v>0.61096192734292443</v>
      </c>
      <c r="X9" s="1">
        <f t="shared" si="4"/>
        <v>7.3604966477960918</v>
      </c>
      <c r="Y9" s="1">
        <f t="shared" si="4"/>
        <v>6.6986085439067118</v>
      </c>
      <c r="Z9" s="1">
        <f t="shared" si="4"/>
        <v>3.2928414084657756</v>
      </c>
      <c r="AA9" s="1">
        <f t="shared" si="4"/>
        <v>5.8365966663270452</v>
      </c>
      <c r="AB9" s="1">
        <f t="shared" si="4"/>
        <v>3.0517989384263178</v>
      </c>
      <c r="AC9" s="1">
        <f t="shared" si="4"/>
        <v>4.3754463226768072</v>
      </c>
      <c r="AD9" s="1">
        <f t="shared" si="4"/>
        <v>5.4204962923717579</v>
      </c>
      <c r="AE9" s="1">
        <f t="shared" si="4"/>
        <v>2.8695059816990658</v>
      </c>
      <c r="AF9" s="1">
        <f t="shared" si="4"/>
        <v>3.397210858748136</v>
      </c>
      <c r="AG9" s="1">
        <f t="shared" si="4"/>
        <v>3.3885638936495464</v>
      </c>
      <c r="AH9" s="1">
        <f t="shared" si="4"/>
        <v>3.0496410988044147</v>
      </c>
      <c r="AI9" s="1">
        <f t="shared" si="4"/>
        <v>3.0276842037942129</v>
      </c>
      <c r="AJ9" s="1">
        <f t="shared" si="4"/>
        <v>2.7171082164937781</v>
      </c>
      <c r="AK9" s="1">
        <f t="shared" si="4"/>
        <v>2.7384541723206337</v>
      </c>
      <c r="AL9" s="1">
        <f t="shared" si="4"/>
        <v>2.4864853112878031</v>
      </c>
      <c r="AM9" s="1">
        <f t="shared" si="4"/>
        <v>1.851870086426421</v>
      </c>
      <c r="AN9" s="1">
        <f t="shared" si="4"/>
        <v>9.5245126568809191</v>
      </c>
      <c r="AO9" s="1">
        <f t="shared" si="4"/>
        <v>9.7485301373495492</v>
      </c>
      <c r="AP9" s="1">
        <f t="shared" si="4"/>
        <v>10.695417715905673</v>
      </c>
      <c r="AQ9" s="1">
        <f t="shared" si="4"/>
        <v>9.4076694016999838</v>
      </c>
      <c r="AR9" s="1">
        <f t="shared" si="4"/>
        <v>3.9274787219847838</v>
      </c>
      <c r="AS9" s="1">
        <f t="shared" si="4"/>
        <v>3.4482934714037685</v>
      </c>
      <c r="AT9" s="1">
        <f t="shared" si="4"/>
        <v>3.4523062576628343</v>
      </c>
      <c r="AU9" s="1">
        <f t="shared" si="4"/>
        <v>3.7805273929169512</v>
      </c>
      <c r="AV9" s="1">
        <f t="shared" si="4"/>
        <v>4.0897700456552437</v>
      </c>
      <c r="AW9" s="1">
        <f t="shared" si="4"/>
        <v>2.001768769548073</v>
      </c>
      <c r="AX9" s="1">
        <f t="shared" si="4"/>
        <v>3.2330356981537371</v>
      </c>
      <c r="AY9" s="1">
        <f t="shared" si="4"/>
        <v>3.4529195894593321</v>
      </c>
      <c r="AZ9" s="1">
        <f t="shared" si="4"/>
        <v>8.3993270142620275</v>
      </c>
      <c r="BA9" s="1">
        <f t="shared" si="4"/>
        <v>8.3778482054674459</v>
      </c>
      <c r="BB9" s="1">
        <f t="shared" si="4"/>
        <v>8.3647962365767849</v>
      </c>
      <c r="BC9" s="1">
        <f t="shared" si="4"/>
        <v>7.7277366858554197</v>
      </c>
      <c r="BD9" s="1">
        <f t="shared" si="4"/>
        <v>8.8653430685538179</v>
      </c>
      <c r="BE9" s="1">
        <f t="shared" si="4"/>
        <v>7.3880389978073469</v>
      </c>
      <c r="BF9" s="1">
        <f t="shared" si="4"/>
        <v>5.5067975468429848</v>
      </c>
      <c r="BG9" s="1">
        <f t="shared" si="4"/>
        <v>5.2653537990977712</v>
      </c>
      <c r="BH9" s="1">
        <f t="shared" si="4"/>
        <v>6.4312384726663803</v>
      </c>
      <c r="BI9" s="1">
        <f t="shared" si="4"/>
        <v>5.5377662672399772</v>
      </c>
      <c r="BJ9" s="1">
        <f t="shared" si="4"/>
        <v>5.4271186212318039</v>
      </c>
      <c r="BK9" s="1">
        <f t="shared" si="4"/>
        <v>5.0112971912262605</v>
      </c>
      <c r="BL9" s="1">
        <f t="shared" si="4"/>
        <v>5.5205621574326296</v>
      </c>
      <c r="BM9" s="1">
        <f t="shared" si="4"/>
        <v>5.6144092774307071</v>
      </c>
      <c r="BN9" s="1">
        <f t="shared" si="4"/>
        <v>6.4803819155945828</v>
      </c>
      <c r="BO9" s="1">
        <f t="shared" si="4"/>
        <v>16.940415146927279</v>
      </c>
      <c r="BP9" s="1">
        <f t="shared" si="4"/>
        <v>17.340680859540115</v>
      </c>
      <c r="BQ9" s="1">
        <f t="shared" si="4"/>
        <v>4.6357465885205587</v>
      </c>
      <c r="BR9" s="1">
        <f t="shared" si="4"/>
        <v>4.9200984576373177</v>
      </c>
      <c r="BS9" s="1">
        <f t="shared" si="4"/>
        <v>5.0280457810192081</v>
      </c>
      <c r="BT9" s="1">
        <f t="shared" si="4"/>
        <v>3.7693177358724483</v>
      </c>
      <c r="BU9" s="1">
        <f t="shared" si="4"/>
        <v>4.958442457023172</v>
      </c>
      <c r="BV9" s="1">
        <f t="shared" si="4"/>
        <v>4.6829181458474416</v>
      </c>
      <c r="BW9" s="1">
        <f t="shared" si="4"/>
        <v>4.6616129587952706</v>
      </c>
      <c r="BX9" s="1">
        <f t="shared" si="2"/>
        <v>4.7526581804660193</v>
      </c>
      <c r="BY9" s="1">
        <f t="shared" si="2"/>
        <v>4.4104294858461346</v>
      </c>
      <c r="BZ9" s="1">
        <f t="shared" si="2"/>
        <v>3.941988903512033</v>
      </c>
      <c r="CA9" s="1">
        <f t="shared" si="2"/>
        <v>3.5524510725956517</v>
      </c>
      <c r="CB9" s="1">
        <f t="shared" si="2"/>
        <v>3.7676145128562455</v>
      </c>
      <c r="CC9" s="1">
        <f t="shared" si="2"/>
        <v>13.152526381498445</v>
      </c>
      <c r="CD9" s="1">
        <f t="shared" si="2"/>
        <v>14.793714085595484</v>
      </c>
      <c r="CE9" s="1">
        <f t="shared" si="2"/>
        <v>12.50870361967217</v>
      </c>
      <c r="CF9" s="1">
        <f t="shared" si="2"/>
        <v>12.155387243621735</v>
      </c>
      <c r="CH9" s="1" t="s">
        <v>21</v>
      </c>
      <c r="CI9" s="1">
        <v>1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  <c r="CR9" s="1">
        <v>0</v>
      </c>
      <c r="CS9" s="1">
        <v>0</v>
      </c>
      <c r="CT9" s="1">
        <v>0</v>
      </c>
      <c r="CU9" s="1">
        <v>0</v>
      </c>
      <c r="CV9" s="1">
        <v>0</v>
      </c>
      <c r="CW9" s="1">
        <v>0</v>
      </c>
      <c r="CX9" s="1">
        <v>0</v>
      </c>
      <c r="CY9" s="1">
        <v>0</v>
      </c>
      <c r="CZ9" s="1">
        <v>0</v>
      </c>
      <c r="DA9" s="1">
        <v>0</v>
      </c>
      <c r="DB9" s="1">
        <v>0</v>
      </c>
      <c r="DC9" s="1">
        <v>0</v>
      </c>
      <c r="DD9" s="1">
        <v>0</v>
      </c>
      <c r="DE9" s="1">
        <v>0</v>
      </c>
      <c r="DF9" s="1">
        <v>0</v>
      </c>
      <c r="DG9" s="1">
        <v>0</v>
      </c>
      <c r="DH9" s="1">
        <v>0</v>
      </c>
      <c r="DI9" s="1">
        <v>0</v>
      </c>
      <c r="DJ9" s="1">
        <v>0</v>
      </c>
      <c r="DK9" s="1">
        <v>0</v>
      </c>
      <c r="DL9" s="1">
        <v>0</v>
      </c>
      <c r="DM9" s="1">
        <v>0</v>
      </c>
      <c r="DN9" s="1">
        <v>0</v>
      </c>
      <c r="DO9" s="1">
        <v>0</v>
      </c>
      <c r="DP9" s="1">
        <v>0</v>
      </c>
      <c r="DQ9" s="1">
        <v>0</v>
      </c>
      <c r="DR9" s="1">
        <v>0</v>
      </c>
      <c r="DS9" s="1">
        <v>0</v>
      </c>
      <c r="DT9" s="1">
        <v>0</v>
      </c>
      <c r="DU9" s="1">
        <v>0</v>
      </c>
      <c r="DV9" s="1">
        <v>0</v>
      </c>
      <c r="DW9" s="1">
        <v>0</v>
      </c>
      <c r="DX9" s="1">
        <v>0</v>
      </c>
      <c r="DY9" s="1">
        <v>0</v>
      </c>
      <c r="DZ9" s="1">
        <v>0</v>
      </c>
      <c r="EA9" s="1">
        <v>0</v>
      </c>
      <c r="EB9" s="1">
        <v>0</v>
      </c>
      <c r="EC9" s="1">
        <v>0</v>
      </c>
      <c r="ED9" s="1">
        <v>0</v>
      </c>
      <c r="EE9" s="1">
        <v>0</v>
      </c>
      <c r="EF9" s="1">
        <v>0</v>
      </c>
      <c r="EG9" s="1">
        <v>0</v>
      </c>
      <c r="EH9" s="1">
        <v>0</v>
      </c>
      <c r="EI9" s="1">
        <v>0</v>
      </c>
      <c r="EJ9" s="1">
        <v>0</v>
      </c>
      <c r="EK9" s="1">
        <v>0</v>
      </c>
      <c r="EL9" s="1">
        <v>0</v>
      </c>
      <c r="EM9" s="1">
        <v>0</v>
      </c>
      <c r="EN9" s="1">
        <v>0</v>
      </c>
      <c r="EO9" s="1">
        <v>0</v>
      </c>
      <c r="EP9" s="1">
        <v>0</v>
      </c>
      <c r="EQ9" s="1">
        <v>0</v>
      </c>
      <c r="ER9" s="1">
        <v>0</v>
      </c>
      <c r="ES9" s="1">
        <v>0</v>
      </c>
      <c r="ET9" s="1">
        <v>0</v>
      </c>
      <c r="EU9" s="1">
        <v>0</v>
      </c>
      <c r="EV9" s="1">
        <v>0</v>
      </c>
      <c r="EW9" s="1">
        <v>0</v>
      </c>
      <c r="EX9" s="1">
        <v>0</v>
      </c>
      <c r="EY9" s="1">
        <v>0</v>
      </c>
      <c r="EZ9" s="1">
        <v>0</v>
      </c>
      <c r="FA9" s="1">
        <v>0</v>
      </c>
      <c r="FB9" s="1">
        <v>0</v>
      </c>
      <c r="FC9" s="1">
        <v>0</v>
      </c>
      <c r="FD9" s="1">
        <v>0</v>
      </c>
      <c r="FE9" s="1">
        <f t="shared" si="0"/>
        <v>0</v>
      </c>
    </row>
    <row r="10" spans="2:161" ht="15.75" thickBot="1" x14ac:dyDescent="0.3">
      <c r="E10" s="1" t="s">
        <v>23</v>
      </c>
      <c r="F10" s="1">
        <v>12</v>
      </c>
      <c r="H10" s="1" t="s">
        <v>94</v>
      </c>
      <c r="I10" s="2">
        <v>34.926675500000002</v>
      </c>
      <c r="J10" s="2">
        <v>-2.3294087000000001</v>
      </c>
      <c r="K10" s="1">
        <f t="shared" si="3"/>
        <v>0.39075401008978056</v>
      </c>
      <c r="L10" s="1">
        <f t="shared" si="4"/>
        <v>0.64702054625826033</v>
      </c>
      <c r="M10" s="1">
        <f t="shared" si="4"/>
        <v>1.0627855965028596</v>
      </c>
      <c r="N10" s="1">
        <f t="shared" si="4"/>
        <v>0.63901523309100028</v>
      </c>
      <c r="O10" s="5">
        <v>9999999</v>
      </c>
      <c r="P10" s="1">
        <f t="shared" si="4"/>
        <v>1.2401367596994886</v>
      </c>
      <c r="Q10" s="1">
        <f t="shared" si="4"/>
        <v>2.2408769639514317</v>
      </c>
      <c r="R10" s="1">
        <f t="shared" si="4"/>
        <v>6.5519770478546739</v>
      </c>
      <c r="S10" s="1">
        <f t="shared" si="4"/>
        <v>7.2642637887675239</v>
      </c>
      <c r="T10" s="1">
        <f t="shared" si="4"/>
        <v>8.1844070217759484</v>
      </c>
      <c r="U10" s="1">
        <f t="shared" si="4"/>
        <v>5.8335122263506012</v>
      </c>
      <c r="V10" s="1">
        <f t="shared" si="4"/>
        <v>8.1796050352242151</v>
      </c>
      <c r="W10" s="1">
        <f t="shared" si="4"/>
        <v>0.18345518705667607</v>
      </c>
      <c r="X10" s="1">
        <f t="shared" si="4"/>
        <v>7.3966147852915896</v>
      </c>
      <c r="Y10" s="1">
        <f t="shared" si="4"/>
        <v>6.7575641312138766</v>
      </c>
      <c r="Z10" s="1">
        <f t="shared" si="4"/>
        <v>3.6626723921975675</v>
      </c>
      <c r="AA10" s="1">
        <f t="shared" si="4"/>
        <v>6.0862283315622285</v>
      </c>
      <c r="AB10" s="1">
        <f t="shared" si="4"/>
        <v>3.2949120738419042</v>
      </c>
      <c r="AC10" s="1">
        <f t="shared" si="4"/>
        <v>4.6741432343744407</v>
      </c>
      <c r="AD10" s="1">
        <f t="shared" si="4"/>
        <v>5.7837415490129187</v>
      </c>
      <c r="AE10" s="1">
        <f t="shared" si="4"/>
        <v>2.8309911960632479</v>
      </c>
      <c r="AF10" s="1">
        <f t="shared" si="4"/>
        <v>3.3638130697807647</v>
      </c>
      <c r="AG10" s="1">
        <f t="shared" si="4"/>
        <v>3.3934078731785564</v>
      </c>
      <c r="AH10" s="1">
        <f t="shared" si="4"/>
        <v>3.1104145020834029</v>
      </c>
      <c r="AI10" s="1">
        <f t="shared" si="4"/>
        <v>2.971013150214576</v>
      </c>
      <c r="AJ10" s="1">
        <f t="shared" si="4"/>
        <v>2.7356106417382478</v>
      </c>
      <c r="AK10" s="1">
        <f t="shared" si="4"/>
        <v>2.8641563031237744</v>
      </c>
      <c r="AL10" s="1">
        <f t="shared" si="4"/>
        <v>2.3390242833233561</v>
      </c>
      <c r="AM10" s="1">
        <f t="shared" si="4"/>
        <v>1.8193068730597204</v>
      </c>
      <c r="AN10" s="1">
        <f t="shared" si="4"/>
        <v>9.7472786400805767</v>
      </c>
      <c r="AO10" s="1">
        <f t="shared" si="4"/>
        <v>10.080000008316935</v>
      </c>
      <c r="AP10" s="1">
        <f t="shared" si="4"/>
        <v>10.909103965797756</v>
      </c>
      <c r="AQ10" s="1">
        <f t="shared" si="4"/>
        <v>9.6059721227677066</v>
      </c>
      <c r="AR10" s="1">
        <f t="shared" si="4"/>
        <v>3.5764830312314912</v>
      </c>
      <c r="AS10" s="1">
        <f t="shared" si="4"/>
        <v>3.0879530239563624</v>
      </c>
      <c r="AT10" s="1">
        <f t="shared" si="4"/>
        <v>3.1121243909406089</v>
      </c>
      <c r="AU10" s="1">
        <f t="shared" si="4"/>
        <v>3.4252875581193631</v>
      </c>
      <c r="AV10" s="1">
        <f t="shared" si="4"/>
        <v>3.8329242233300578</v>
      </c>
      <c r="AW10" s="1">
        <f t="shared" si="4"/>
        <v>1.6321430827220813</v>
      </c>
      <c r="AX10" s="1">
        <f t="shared" si="4"/>
        <v>2.9572838037738385</v>
      </c>
      <c r="AY10" s="1">
        <f t="shared" si="4"/>
        <v>3.2516807354272559</v>
      </c>
      <c r="AZ10" s="1">
        <f t="shared" si="4"/>
        <v>8.5573069067292966</v>
      </c>
      <c r="BA10" s="1">
        <f t="shared" si="4"/>
        <v>8.5420515462656148</v>
      </c>
      <c r="BB10" s="1">
        <f t="shared" si="4"/>
        <v>8.5585775064903142</v>
      </c>
      <c r="BC10" s="1">
        <f t="shared" si="4"/>
        <v>7.9109918120693079</v>
      </c>
      <c r="BD10" s="1">
        <f t="shared" si="4"/>
        <v>9.0620220389288466</v>
      </c>
      <c r="BE10" s="1">
        <f t="shared" si="4"/>
        <v>7.6581428930874109</v>
      </c>
      <c r="BF10" s="1">
        <f t="shared" si="4"/>
        <v>5.4557593427845861</v>
      </c>
      <c r="BG10" s="1">
        <f t="shared" si="4"/>
        <v>5.2074711405080389</v>
      </c>
      <c r="BH10" s="1">
        <f t="shared" si="4"/>
        <v>6.3990328966024936</v>
      </c>
      <c r="BI10" s="1">
        <f t="shared" si="4"/>
        <v>5.5111456749062926</v>
      </c>
      <c r="BJ10" s="1">
        <f t="shared" si="4"/>
        <v>5.3943093260564821</v>
      </c>
      <c r="BK10" s="1">
        <f t="shared" si="4"/>
        <v>4.9693511836442665</v>
      </c>
      <c r="BL10" s="1">
        <f t="shared" si="4"/>
        <v>5.5075433639826805</v>
      </c>
      <c r="BM10" s="1">
        <f t="shared" si="4"/>
        <v>5.6295467641366246</v>
      </c>
      <c r="BN10" s="1">
        <f t="shared" si="4"/>
        <v>6.5058658922816477</v>
      </c>
      <c r="BO10" s="1">
        <f t="shared" si="4"/>
        <v>17.222555216710806</v>
      </c>
      <c r="BP10" s="1">
        <f t="shared" si="4"/>
        <v>17.664242758135384</v>
      </c>
      <c r="BQ10" s="1">
        <f t="shared" si="4"/>
        <v>4.7867471607175949</v>
      </c>
      <c r="BR10" s="1">
        <f t="shared" si="4"/>
        <v>5.1161676669162475</v>
      </c>
      <c r="BS10" s="1">
        <f t="shared" si="4"/>
        <v>5.1300854867124892</v>
      </c>
      <c r="BT10" s="1">
        <f t="shared" si="4"/>
        <v>3.8885617080216943</v>
      </c>
      <c r="BU10" s="1">
        <f t="shared" si="4"/>
        <v>5.0141002363529532</v>
      </c>
      <c r="BV10" s="1">
        <f t="shared" si="4"/>
        <v>4.5944890148875643</v>
      </c>
      <c r="BW10" s="1">
        <f t="shared" si="4"/>
        <v>4.5704768937181104</v>
      </c>
      <c r="BX10" s="1">
        <f t="shared" si="2"/>
        <v>4.7000242561559347</v>
      </c>
      <c r="BY10" s="1">
        <f t="shared" si="2"/>
        <v>4.2921360201170629</v>
      </c>
      <c r="BZ10" s="1">
        <f t="shared" si="2"/>
        <v>3.9004597528068339</v>
      </c>
      <c r="CA10" s="1">
        <f t="shared" si="2"/>
        <v>3.4537608630697547</v>
      </c>
      <c r="CB10" s="1">
        <f t="shared" si="2"/>
        <v>3.6591122575084714</v>
      </c>
      <c r="CC10" s="1">
        <f t="shared" si="2"/>
        <v>13.35949552639649</v>
      </c>
      <c r="CD10" s="1">
        <f t="shared" si="2"/>
        <v>15.005719414745375</v>
      </c>
      <c r="CE10" s="1">
        <f t="shared" si="2"/>
        <v>12.691665268994848</v>
      </c>
      <c r="CF10" s="1">
        <f t="shared" si="2"/>
        <v>12.420479120224631</v>
      </c>
      <c r="CH10" s="1" t="s">
        <v>22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  <c r="CR10" s="1">
        <v>0</v>
      </c>
      <c r="CS10" s="1">
        <v>0</v>
      </c>
      <c r="CT10" s="1">
        <v>0</v>
      </c>
      <c r="CU10" s="1">
        <v>0</v>
      </c>
      <c r="CV10" s="1">
        <v>0</v>
      </c>
      <c r="CW10" s="1">
        <v>0</v>
      </c>
      <c r="CX10" s="1">
        <v>1</v>
      </c>
      <c r="CY10" s="1">
        <v>0</v>
      </c>
      <c r="CZ10" s="1">
        <v>0</v>
      </c>
      <c r="DA10" s="1">
        <v>0</v>
      </c>
      <c r="DB10" s="1">
        <v>0</v>
      </c>
      <c r="DC10" s="1">
        <v>0</v>
      </c>
      <c r="DD10" s="1">
        <v>0</v>
      </c>
      <c r="DE10" s="1">
        <v>0</v>
      </c>
      <c r="DF10" s="1">
        <v>0</v>
      </c>
      <c r="DG10" s="1">
        <v>0</v>
      </c>
      <c r="DH10" s="1">
        <v>0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0</v>
      </c>
      <c r="DP10" s="1">
        <v>0</v>
      </c>
      <c r="DQ10" s="1">
        <v>0</v>
      </c>
      <c r="DR10" s="1">
        <v>0</v>
      </c>
      <c r="DS10" s="1">
        <v>0</v>
      </c>
      <c r="DT10" s="1">
        <v>0</v>
      </c>
      <c r="DU10" s="1">
        <v>0</v>
      </c>
      <c r="DV10" s="1">
        <v>0</v>
      </c>
      <c r="DW10" s="1">
        <v>0</v>
      </c>
      <c r="DX10" s="1">
        <v>0</v>
      </c>
      <c r="DY10" s="1">
        <v>0</v>
      </c>
      <c r="DZ10" s="1">
        <v>0</v>
      </c>
      <c r="EA10" s="1">
        <v>0</v>
      </c>
      <c r="EB10" s="1">
        <v>0</v>
      </c>
      <c r="EC10" s="1">
        <v>0</v>
      </c>
      <c r="ED10" s="1">
        <v>0</v>
      </c>
      <c r="EE10" s="1">
        <v>0</v>
      </c>
      <c r="EF10" s="1">
        <v>0</v>
      </c>
      <c r="EG10" s="1">
        <v>0</v>
      </c>
      <c r="EH10" s="1">
        <v>0</v>
      </c>
      <c r="EI10" s="1">
        <v>0</v>
      </c>
      <c r="EJ10" s="1">
        <v>0</v>
      </c>
      <c r="EK10" s="1">
        <v>0</v>
      </c>
      <c r="EL10" s="1">
        <v>0</v>
      </c>
      <c r="EM10" s="1">
        <v>0</v>
      </c>
      <c r="EN10" s="1">
        <v>0</v>
      </c>
      <c r="EO10" s="1">
        <v>0</v>
      </c>
      <c r="EP10" s="1">
        <v>0</v>
      </c>
      <c r="EQ10" s="1">
        <v>0</v>
      </c>
      <c r="ER10" s="1">
        <v>0</v>
      </c>
      <c r="ES10" s="1">
        <v>0</v>
      </c>
      <c r="ET10" s="1">
        <v>0</v>
      </c>
      <c r="EU10" s="1">
        <v>0</v>
      </c>
      <c r="EV10" s="1">
        <v>0</v>
      </c>
      <c r="EW10" s="1">
        <v>0</v>
      </c>
      <c r="EX10" s="1">
        <v>0</v>
      </c>
      <c r="EY10" s="1">
        <v>0</v>
      </c>
      <c r="EZ10" s="1">
        <v>0</v>
      </c>
      <c r="FA10" s="1">
        <v>0</v>
      </c>
      <c r="FB10" s="1">
        <v>0</v>
      </c>
      <c r="FC10" s="1">
        <v>0</v>
      </c>
      <c r="FD10" s="1">
        <v>0</v>
      </c>
      <c r="FE10" s="1">
        <f t="shared" si="0"/>
        <v>0</v>
      </c>
    </row>
    <row r="11" spans="2:161" ht="15.75" thickBot="1" x14ac:dyDescent="0.3">
      <c r="E11" s="1" t="s">
        <v>24</v>
      </c>
      <c r="F11" s="1">
        <v>8</v>
      </c>
      <c r="H11" s="1" t="s">
        <v>95</v>
      </c>
      <c r="I11" s="2">
        <v>34.225575999999997</v>
      </c>
      <c r="J11" s="2">
        <v>-3.3523450000000001</v>
      </c>
      <c r="K11" s="1">
        <f t="shared" si="3"/>
        <v>1.3885779258115811</v>
      </c>
      <c r="L11" s="1">
        <f t="shared" si="4"/>
        <v>1.0754657396741569</v>
      </c>
      <c r="M11" s="1">
        <f t="shared" si="4"/>
        <v>0.75235793083877545</v>
      </c>
      <c r="N11" s="1">
        <f t="shared" si="4"/>
        <v>1.1953886522721389</v>
      </c>
      <c r="O11" s="1">
        <f t="shared" si="4"/>
        <v>1.2401367596994886</v>
      </c>
      <c r="P11" s="5">
        <v>9999999</v>
      </c>
      <c r="Q11" s="1">
        <f t="shared" si="4"/>
        <v>1.6831608998376766</v>
      </c>
      <c r="R11" s="1">
        <f t="shared" si="4"/>
        <v>5.3158971383464246</v>
      </c>
      <c r="S11" s="1">
        <f t="shared" si="4"/>
        <v>6.034327820976146</v>
      </c>
      <c r="T11" s="1">
        <f t="shared" si="4"/>
        <v>6.9654533351198982</v>
      </c>
      <c r="U11" s="1">
        <f t="shared" si="4"/>
        <v>4.5991945147754931</v>
      </c>
      <c r="V11" s="1">
        <f t="shared" si="4"/>
        <v>6.9605504434366754</v>
      </c>
      <c r="W11" s="1">
        <f t="shared" si="4"/>
        <v>1.3925772940547976</v>
      </c>
      <c r="X11" s="1">
        <f t="shared" si="4"/>
        <v>6.1965228480598373</v>
      </c>
      <c r="Y11" s="1">
        <f t="shared" si="4"/>
        <v>5.5455281894027904</v>
      </c>
      <c r="Z11" s="1">
        <f t="shared" si="4"/>
        <v>2.5385044151672198</v>
      </c>
      <c r="AA11" s="1">
        <f t="shared" si="4"/>
        <v>4.8568543481118489</v>
      </c>
      <c r="AB11" s="1">
        <f t="shared" si="4"/>
        <v>2.0767843448815277</v>
      </c>
      <c r="AC11" s="1">
        <f t="shared" si="4"/>
        <v>3.4727796738746597</v>
      </c>
      <c r="AD11" s="1">
        <f t="shared" si="4"/>
        <v>4.6222318277123415</v>
      </c>
      <c r="AE11" s="1">
        <f t="shared" si="4"/>
        <v>1.6747657374141967</v>
      </c>
      <c r="AF11" s="1">
        <f t="shared" si="4"/>
        <v>2.2041853259223116</v>
      </c>
      <c r="AG11" s="1">
        <f t="shared" si="4"/>
        <v>2.2043923234576841</v>
      </c>
      <c r="AH11" s="1">
        <f t="shared" si="4"/>
        <v>1.8887587592940489</v>
      </c>
      <c r="AI11" s="1">
        <f t="shared" si="4"/>
        <v>1.8323022915894629</v>
      </c>
      <c r="AJ11" s="1">
        <f t="shared" si="4"/>
        <v>1.5342350542746046</v>
      </c>
      <c r="AK11" s="1">
        <f t="shared" si="4"/>
        <v>1.6246315415856649</v>
      </c>
      <c r="AL11" s="1">
        <f t="shared" si="4"/>
        <v>1.3212347123811892</v>
      </c>
      <c r="AM11" s="1">
        <f t="shared" si="4"/>
        <v>0.65777493819846922</v>
      </c>
      <c r="AN11" s="1">
        <f t="shared" si="4"/>
        <v>8.5092510532903294</v>
      </c>
      <c r="AO11" s="1">
        <f t="shared" si="4"/>
        <v>8.88036483112033</v>
      </c>
      <c r="AP11" s="1">
        <f t="shared" si="4"/>
        <v>9.6698846062551311</v>
      </c>
      <c r="AQ11" s="1">
        <f t="shared" si="4"/>
        <v>8.365991946370837</v>
      </c>
      <c r="AR11" s="1">
        <f t="shared" si="4"/>
        <v>2.9008800832427446</v>
      </c>
      <c r="AS11" s="1">
        <f t="shared" si="4"/>
        <v>2.4514213224898027</v>
      </c>
      <c r="AT11" s="1">
        <f t="shared" si="4"/>
        <v>2.4282005497371437</v>
      </c>
      <c r="AU11" s="1">
        <f t="shared" si="4"/>
        <v>2.7640118817807502</v>
      </c>
      <c r="AV11" s="1">
        <f t="shared" si="4"/>
        <v>2.9636827155549041</v>
      </c>
      <c r="AW11" s="1">
        <f t="shared" si="4"/>
        <v>1.1719035603346415</v>
      </c>
      <c r="AX11" s="1">
        <f t="shared" si="4"/>
        <v>2.143612725347634</v>
      </c>
      <c r="AY11" s="1">
        <f t="shared" si="4"/>
        <v>2.2982564375336803</v>
      </c>
      <c r="AZ11" s="1">
        <f t="shared" si="4"/>
        <v>7.3187259433366725</v>
      </c>
      <c r="BA11" s="1">
        <f t="shared" si="4"/>
        <v>7.3028696469190582</v>
      </c>
      <c r="BB11" s="1">
        <f t="shared" si="4"/>
        <v>7.318534847011116</v>
      </c>
      <c r="BC11" s="1">
        <f t="shared" si="4"/>
        <v>6.670860435356559</v>
      </c>
      <c r="BD11" s="1">
        <f t="shared" si="4"/>
        <v>7.8220282076540881</v>
      </c>
      <c r="BE11" s="1">
        <f t="shared" si="4"/>
        <v>6.4328982688138305</v>
      </c>
      <c r="BF11" s="1">
        <f t="shared" si="4"/>
        <v>4.3140885880600672</v>
      </c>
      <c r="BG11" s="1">
        <f t="shared" si="4"/>
        <v>4.0715922514233815</v>
      </c>
      <c r="BH11" s="1">
        <f t="shared" si="4"/>
        <v>5.2427619778331467</v>
      </c>
      <c r="BI11" s="1">
        <f t="shared" si="4"/>
        <v>4.3496568664760202</v>
      </c>
      <c r="BJ11" s="1">
        <f t="shared" si="4"/>
        <v>4.2375159816394783</v>
      </c>
      <c r="BK11" s="1">
        <f t="shared" si="4"/>
        <v>3.81950688371463</v>
      </c>
      <c r="BL11" s="1">
        <f t="shared" si="4"/>
        <v>4.3359355643879436</v>
      </c>
      <c r="BM11" s="1">
        <f t="shared" si="4"/>
        <v>4.4393592878392916</v>
      </c>
      <c r="BN11" s="1">
        <f t="shared" si="4"/>
        <v>5.3107237127031857</v>
      </c>
      <c r="BO11" s="1">
        <f t="shared" si="4"/>
        <v>15.995772046013027</v>
      </c>
      <c r="BP11" s="1">
        <f t="shared" si="4"/>
        <v>16.454535107069084</v>
      </c>
      <c r="BQ11" s="1">
        <f t="shared" si="4"/>
        <v>3.5472906045021166</v>
      </c>
      <c r="BR11" s="1">
        <f t="shared" si="4"/>
        <v>3.8773024620524539</v>
      </c>
      <c r="BS11" s="1">
        <f t="shared" si="4"/>
        <v>3.8998739249979493</v>
      </c>
      <c r="BT11" s="1">
        <f t="shared" si="4"/>
        <v>2.6520745070994516</v>
      </c>
      <c r="BU11" s="1">
        <f t="shared" si="4"/>
        <v>3.8009564662164954</v>
      </c>
      <c r="BV11" s="1">
        <f t="shared" si="4"/>
        <v>3.4876027393692417</v>
      </c>
      <c r="BW11" s="1">
        <f t="shared" ref="BW11:CF14" si="5">SQRT(POWER($I11-BW$4,2)+POWER(BW$5-$J11,2))</f>
        <v>3.4663844027391129</v>
      </c>
      <c r="BX11" s="1">
        <f t="shared" si="5"/>
        <v>3.5590723750124882</v>
      </c>
      <c r="BY11" s="1">
        <f t="shared" si="5"/>
        <v>3.2180602584494902</v>
      </c>
      <c r="BZ11" s="1">
        <f t="shared" si="5"/>
        <v>2.7488302714283761</v>
      </c>
      <c r="CA11" s="1">
        <f t="shared" si="5"/>
        <v>2.3590891481283611</v>
      </c>
      <c r="CB11" s="1">
        <f t="shared" si="5"/>
        <v>2.5751364693289562</v>
      </c>
      <c r="CC11" s="1">
        <f t="shared" si="5"/>
        <v>12.119633752919862</v>
      </c>
      <c r="CD11" s="1">
        <f t="shared" si="5"/>
        <v>13.766034025638424</v>
      </c>
      <c r="CE11" s="1">
        <f t="shared" si="5"/>
        <v>11.451748752465445</v>
      </c>
      <c r="CF11" s="1">
        <f t="shared" si="5"/>
        <v>11.190050614309168</v>
      </c>
      <c r="CH11" s="1" t="s">
        <v>23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  <c r="CR11" s="1">
        <v>0</v>
      </c>
      <c r="CS11" s="1">
        <v>0</v>
      </c>
      <c r="CT11" s="1">
        <v>0</v>
      </c>
      <c r="CU11" s="1">
        <v>0</v>
      </c>
      <c r="CV11" s="1">
        <v>0</v>
      </c>
      <c r="CW11" s="1">
        <v>0</v>
      </c>
      <c r="CX11" s="1">
        <v>0</v>
      </c>
      <c r="CY11" s="1">
        <v>0</v>
      </c>
      <c r="CZ11" s="1">
        <v>0</v>
      </c>
      <c r="DA11" s="1">
        <v>0</v>
      </c>
      <c r="DB11" s="1">
        <v>0</v>
      </c>
      <c r="DC11" s="1">
        <v>0</v>
      </c>
      <c r="DD11" s="1">
        <v>0</v>
      </c>
      <c r="DE11" s="1">
        <v>0</v>
      </c>
      <c r="DF11" s="1">
        <v>0</v>
      </c>
      <c r="DG11" s="1">
        <v>0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0</v>
      </c>
      <c r="DP11" s="1">
        <v>0</v>
      </c>
      <c r="DQ11" s="1">
        <v>0</v>
      </c>
      <c r="DR11" s="1">
        <v>0</v>
      </c>
      <c r="DS11" s="1">
        <v>0</v>
      </c>
      <c r="DT11" s="1">
        <v>0</v>
      </c>
      <c r="DU11" s="1">
        <v>0</v>
      </c>
      <c r="DV11" s="1">
        <v>0</v>
      </c>
      <c r="DW11" s="1">
        <v>0</v>
      </c>
      <c r="DX11" s="1">
        <v>0</v>
      </c>
      <c r="DY11" s="1">
        <v>0</v>
      </c>
      <c r="DZ11" s="1">
        <v>0</v>
      </c>
      <c r="EA11" s="1">
        <v>0</v>
      </c>
      <c r="EB11" s="1">
        <v>0</v>
      </c>
      <c r="EC11" s="1">
        <v>0</v>
      </c>
      <c r="ED11" s="1">
        <v>0</v>
      </c>
      <c r="EE11" s="1">
        <v>0</v>
      </c>
      <c r="EF11" s="1">
        <v>0</v>
      </c>
      <c r="EG11" s="1">
        <v>0</v>
      </c>
      <c r="EH11" s="1">
        <v>0</v>
      </c>
      <c r="EI11" s="1">
        <v>0</v>
      </c>
      <c r="EJ11" s="1">
        <v>0</v>
      </c>
      <c r="EK11" s="1">
        <v>0</v>
      </c>
      <c r="EL11" s="1">
        <v>0</v>
      </c>
      <c r="EM11" s="1">
        <v>0</v>
      </c>
      <c r="EN11" s="1">
        <v>0</v>
      </c>
      <c r="EO11" s="1">
        <v>1</v>
      </c>
      <c r="EP11" s="1">
        <v>0</v>
      </c>
      <c r="EQ11" s="1">
        <v>0</v>
      </c>
      <c r="ER11" s="1">
        <v>0</v>
      </c>
      <c r="ES11" s="1">
        <v>0</v>
      </c>
      <c r="ET11" s="1">
        <v>0</v>
      </c>
      <c r="EU11" s="1">
        <v>0</v>
      </c>
      <c r="EV11" s="1">
        <v>0</v>
      </c>
      <c r="EW11" s="1">
        <v>0</v>
      </c>
      <c r="EX11" s="1">
        <v>0</v>
      </c>
      <c r="EY11" s="1">
        <v>0</v>
      </c>
      <c r="EZ11" s="1">
        <v>0</v>
      </c>
      <c r="FA11" s="1">
        <v>0</v>
      </c>
      <c r="FB11" s="1">
        <v>0</v>
      </c>
      <c r="FC11" s="1">
        <v>0</v>
      </c>
      <c r="FD11" s="1">
        <v>0</v>
      </c>
      <c r="FE11" s="1">
        <f t="shared" si="0"/>
        <v>0</v>
      </c>
    </row>
    <row r="12" spans="2:161" ht="15.75" thickBot="1" x14ac:dyDescent="0.3">
      <c r="E12" s="1" t="s">
        <v>25</v>
      </c>
      <c r="F12" s="1">
        <v>4</v>
      </c>
      <c r="H12" s="1" t="s">
        <v>96</v>
      </c>
      <c r="I12" s="2">
        <v>32.705883999999998</v>
      </c>
      <c r="J12" s="2">
        <v>-2.6287658129870102</v>
      </c>
      <c r="K12" s="1">
        <f t="shared" si="3"/>
        <v>2.0499429277759091</v>
      </c>
      <c r="L12" s="1">
        <f t="shared" ref="L12:BW15" si="6">SQRT(POWER($I12-L$4,2)+POWER(L$5-$J12,2))</f>
        <v>2.5171694686791066</v>
      </c>
      <c r="M12" s="1">
        <f t="shared" si="6"/>
        <v>2.3955592109889978</v>
      </c>
      <c r="N12" s="1">
        <f t="shared" si="6"/>
        <v>1.6717215888536936</v>
      </c>
      <c r="O12" s="1">
        <f t="shared" si="6"/>
        <v>2.2408769639514317</v>
      </c>
      <c r="P12" s="1">
        <f t="shared" si="6"/>
        <v>1.6831608998376766</v>
      </c>
      <c r="Q12" s="5">
        <v>9999999</v>
      </c>
      <c r="R12" s="1">
        <f t="shared" si="6"/>
        <v>5.4681221957992925</v>
      </c>
      <c r="S12" s="1">
        <f t="shared" si="6"/>
        <v>6.2393673090110378</v>
      </c>
      <c r="T12" s="1">
        <f t="shared" si="6"/>
        <v>7.2380992920075924</v>
      </c>
      <c r="U12" s="1">
        <f t="shared" si="6"/>
        <v>4.8222143322384499</v>
      </c>
      <c r="V12" s="1">
        <f t="shared" si="6"/>
        <v>7.2325713082792307</v>
      </c>
      <c r="W12" s="1">
        <f t="shared" si="6"/>
        <v>2.2674324649830031</v>
      </c>
      <c r="X12" s="1">
        <f t="shared" si="6"/>
        <v>6.6164883418612837</v>
      </c>
      <c r="Y12" s="1">
        <f t="shared" si="6"/>
        <v>5.9215735633313811</v>
      </c>
      <c r="Z12" s="1">
        <f t="shared" si="6"/>
        <v>1.9653427979097484</v>
      </c>
      <c r="AA12" s="1">
        <f t="shared" si="6"/>
        <v>4.6395649065152638</v>
      </c>
      <c r="AB12" s="1">
        <f t="shared" si="6"/>
        <v>2.1112856337189139</v>
      </c>
      <c r="AC12" s="1">
        <f t="shared" si="6"/>
        <v>3.1348179237225708</v>
      </c>
      <c r="AD12" s="1">
        <f t="shared" si="6"/>
        <v>3.9934727210718335</v>
      </c>
      <c r="AE12" s="1">
        <f t="shared" si="6"/>
        <v>2.7322947830941566</v>
      </c>
      <c r="AF12" s="1">
        <f t="shared" si="6"/>
        <v>3.1384417122258523</v>
      </c>
      <c r="AG12" s="1">
        <f t="shared" si="6"/>
        <v>3.0313062425087782</v>
      </c>
      <c r="AH12" s="1">
        <f t="shared" si="6"/>
        <v>2.611300919672328</v>
      </c>
      <c r="AI12" s="1">
        <f t="shared" si="6"/>
        <v>2.9008081030350001</v>
      </c>
      <c r="AJ12" s="1">
        <f t="shared" si="6"/>
        <v>2.4723110729967801</v>
      </c>
      <c r="AK12" s="1">
        <f t="shared" si="6"/>
        <v>2.2014193758102207</v>
      </c>
      <c r="AL12" s="1">
        <f t="shared" si="6"/>
        <v>2.7179695423612595</v>
      </c>
      <c r="AM12" s="1">
        <f t="shared" si="6"/>
        <v>2.0570603463052199</v>
      </c>
      <c r="AN12" s="1">
        <f t="shared" si="6"/>
        <v>8.3078155190766889</v>
      </c>
      <c r="AO12" s="1">
        <f t="shared" si="6"/>
        <v>8.3207582612616111</v>
      </c>
      <c r="AP12" s="1">
        <f t="shared" si="6"/>
        <v>9.4846098930808385</v>
      </c>
      <c r="AQ12" s="1">
        <f t="shared" si="6"/>
        <v>8.2438532173708463</v>
      </c>
      <c r="AR12" s="1">
        <f t="shared" si="6"/>
        <v>4.4171991810959144</v>
      </c>
      <c r="AS12" s="1">
        <f t="shared" si="6"/>
        <v>4.0156474557373718</v>
      </c>
      <c r="AT12" s="1">
        <f t="shared" si="6"/>
        <v>3.9676186693416331</v>
      </c>
      <c r="AU12" s="1">
        <f t="shared" si="6"/>
        <v>4.2966500372518999</v>
      </c>
      <c r="AV12" s="1">
        <f t="shared" si="6"/>
        <v>4.3146807930510063</v>
      </c>
      <c r="AW12" s="1">
        <f t="shared" si="6"/>
        <v>2.8533109707960231</v>
      </c>
      <c r="AX12" s="1">
        <f t="shared" si="6"/>
        <v>3.617127631800757</v>
      </c>
      <c r="AY12" s="1">
        <f t="shared" si="6"/>
        <v>3.6156106510425832</v>
      </c>
      <c r="AZ12" s="1">
        <f t="shared" si="6"/>
        <v>7.3403552434443515</v>
      </c>
      <c r="BA12" s="1">
        <f t="shared" si="6"/>
        <v>7.3053270801970065</v>
      </c>
      <c r="BB12" s="1">
        <f t="shared" si="6"/>
        <v>7.2270966682820079</v>
      </c>
      <c r="BC12" s="1">
        <f t="shared" si="6"/>
        <v>6.6260963685474303</v>
      </c>
      <c r="BD12" s="1">
        <f t="shared" si="6"/>
        <v>7.7129334103093088</v>
      </c>
      <c r="BE12" s="1">
        <f t="shared" si="6"/>
        <v>6.1059935463252346</v>
      </c>
      <c r="BF12" s="1">
        <f t="shared" si="6"/>
        <v>5.0697501122165551</v>
      </c>
      <c r="BG12" s="1">
        <f t="shared" si="6"/>
        <v>4.8624040636147345</v>
      </c>
      <c r="BH12" s="1">
        <f t="shared" si="6"/>
        <v>5.8953340814007644</v>
      </c>
      <c r="BI12" s="1">
        <f t="shared" si="6"/>
        <v>5.0354036870850818</v>
      </c>
      <c r="BJ12" s="1">
        <f t="shared" si="6"/>
        <v>4.9479030546489273</v>
      </c>
      <c r="BK12" s="1">
        <f t="shared" si="6"/>
        <v>4.5856692014862555</v>
      </c>
      <c r="BL12" s="1">
        <f t="shared" si="6"/>
        <v>4.9841431708316346</v>
      </c>
      <c r="BM12" s="1">
        <f t="shared" si="6"/>
        <v>4.9999011008390442</v>
      </c>
      <c r="BN12" s="1">
        <f t="shared" si="6"/>
        <v>5.7957048575313497</v>
      </c>
      <c r="BO12" s="1">
        <f t="shared" si="6"/>
        <v>15.566841220865328</v>
      </c>
      <c r="BP12" s="1">
        <f t="shared" si="6"/>
        <v>15.896534595879361</v>
      </c>
      <c r="BQ12" s="1">
        <f t="shared" si="6"/>
        <v>3.7430695730012293</v>
      </c>
      <c r="BR12" s="1">
        <f t="shared" si="6"/>
        <v>3.894200782326946</v>
      </c>
      <c r="BS12" s="1">
        <f t="shared" si="6"/>
        <v>4.230300804693889</v>
      </c>
      <c r="BT12" s="1">
        <f t="shared" si="6"/>
        <v>3.0495618492042431</v>
      </c>
      <c r="BU12" s="1">
        <f t="shared" si="6"/>
        <v>4.2842393636639589</v>
      </c>
      <c r="BV12" s="1">
        <f t="shared" si="6"/>
        <v>4.4065054566049895</v>
      </c>
      <c r="BW12" s="1">
        <f t="shared" si="6"/>
        <v>4.3942305229037126</v>
      </c>
      <c r="BX12" s="1">
        <f t="shared" si="5"/>
        <v>4.3763254404971503</v>
      </c>
      <c r="BY12" s="1">
        <f t="shared" si="5"/>
        <v>4.2384149312204151</v>
      </c>
      <c r="BZ12" s="1">
        <f t="shared" si="5"/>
        <v>3.6227490186894391</v>
      </c>
      <c r="CA12" s="1">
        <f t="shared" si="5"/>
        <v>3.4372734179878632</v>
      </c>
      <c r="CB12" s="1">
        <f t="shared" si="5"/>
        <v>3.6462192850848778</v>
      </c>
      <c r="CC12" s="1">
        <f t="shared" si="5"/>
        <v>11.936135143830178</v>
      </c>
      <c r="CD12" s="1">
        <f t="shared" si="5"/>
        <v>13.558347798001853</v>
      </c>
      <c r="CE12" s="1">
        <f t="shared" si="5"/>
        <v>11.345695448700015</v>
      </c>
      <c r="CF12" s="1">
        <f t="shared" si="5"/>
        <v>10.832159873537153</v>
      </c>
      <c r="CH12" s="1" t="s">
        <v>24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  <c r="CR12" s="1">
        <v>0</v>
      </c>
      <c r="CS12" s="1">
        <v>0</v>
      </c>
      <c r="CT12" s="1">
        <v>0</v>
      </c>
      <c r="CU12" s="1">
        <v>0</v>
      </c>
      <c r="CV12" s="1">
        <v>1</v>
      </c>
      <c r="CW12" s="1">
        <v>0</v>
      </c>
      <c r="CX12" s="1">
        <v>0</v>
      </c>
      <c r="CY12" s="1">
        <v>0</v>
      </c>
      <c r="CZ12" s="1">
        <v>0</v>
      </c>
      <c r="DA12" s="1">
        <v>0</v>
      </c>
      <c r="DB12" s="1">
        <v>0</v>
      </c>
      <c r="DC12" s="1">
        <v>0</v>
      </c>
      <c r="DD12" s="1">
        <v>0</v>
      </c>
      <c r="DE12" s="1">
        <v>0</v>
      </c>
      <c r="DF12" s="1">
        <v>0</v>
      </c>
      <c r="DG12" s="1">
        <v>0</v>
      </c>
      <c r="DH12" s="1">
        <v>0</v>
      </c>
      <c r="DI12" s="1">
        <v>0</v>
      </c>
      <c r="DJ12" s="1">
        <v>0</v>
      </c>
      <c r="DK12" s="1">
        <v>0</v>
      </c>
      <c r="DL12" s="1">
        <v>0</v>
      </c>
      <c r="DM12" s="1">
        <v>0</v>
      </c>
      <c r="DN12" s="1">
        <v>0</v>
      </c>
      <c r="DO12" s="1">
        <v>0</v>
      </c>
      <c r="DP12" s="1">
        <v>0</v>
      </c>
      <c r="DQ12" s="1">
        <v>0</v>
      </c>
      <c r="DR12" s="1">
        <v>0</v>
      </c>
      <c r="DS12" s="1">
        <v>0</v>
      </c>
      <c r="DT12" s="1">
        <v>0</v>
      </c>
      <c r="DU12" s="1">
        <v>0</v>
      </c>
      <c r="DV12" s="1">
        <v>0</v>
      </c>
      <c r="DW12" s="1">
        <v>0</v>
      </c>
      <c r="DX12" s="1">
        <v>0</v>
      </c>
      <c r="DY12" s="1">
        <v>0</v>
      </c>
      <c r="DZ12" s="1">
        <v>0</v>
      </c>
      <c r="EA12" s="1">
        <v>0</v>
      </c>
      <c r="EB12" s="1">
        <v>0</v>
      </c>
      <c r="EC12" s="1">
        <v>0</v>
      </c>
      <c r="ED12" s="1">
        <v>0</v>
      </c>
      <c r="EE12" s="1">
        <v>0</v>
      </c>
      <c r="EF12" s="1">
        <v>0</v>
      </c>
      <c r="EG12" s="1">
        <v>0</v>
      </c>
      <c r="EH12" s="1">
        <v>0</v>
      </c>
      <c r="EI12" s="1">
        <v>0</v>
      </c>
      <c r="EJ12" s="1">
        <v>0</v>
      </c>
      <c r="EK12" s="1">
        <v>0</v>
      </c>
      <c r="EL12" s="1">
        <v>0</v>
      </c>
      <c r="EM12" s="1">
        <v>0</v>
      </c>
      <c r="EN12" s="1">
        <v>0</v>
      </c>
      <c r="EO12" s="1">
        <v>0</v>
      </c>
      <c r="EP12" s="1">
        <v>0</v>
      </c>
      <c r="EQ12" s="1">
        <v>0</v>
      </c>
      <c r="ER12" s="1">
        <v>0</v>
      </c>
      <c r="ES12" s="1">
        <v>0</v>
      </c>
      <c r="ET12" s="1">
        <v>0</v>
      </c>
      <c r="EU12" s="1">
        <v>0</v>
      </c>
      <c r="EV12" s="1">
        <v>0</v>
      </c>
      <c r="EW12" s="1">
        <v>0</v>
      </c>
      <c r="EX12" s="1">
        <v>0</v>
      </c>
      <c r="EY12" s="1">
        <v>0</v>
      </c>
      <c r="EZ12" s="1">
        <v>0</v>
      </c>
      <c r="FA12" s="1">
        <v>0</v>
      </c>
      <c r="FB12" s="1">
        <v>0</v>
      </c>
      <c r="FC12" s="1">
        <v>0</v>
      </c>
      <c r="FD12" s="1">
        <v>0</v>
      </c>
      <c r="FE12" s="1">
        <f t="shared" si="0"/>
        <v>0</v>
      </c>
    </row>
    <row r="13" spans="2:161" ht="15.75" thickBot="1" x14ac:dyDescent="0.3">
      <c r="E13" s="1" t="s">
        <v>26</v>
      </c>
      <c r="F13" s="1">
        <v>0</v>
      </c>
      <c r="H13" s="1" t="s">
        <v>97</v>
      </c>
      <c r="I13" s="2">
        <v>31.6258257</v>
      </c>
      <c r="J13" s="2">
        <v>-7.9891607999999996</v>
      </c>
      <c r="K13" s="1">
        <f t="shared" si="3"/>
        <v>6.6853591111148631</v>
      </c>
      <c r="L13" s="1">
        <f t="shared" si="6"/>
        <v>6.2126368437516897</v>
      </c>
      <c r="M13" s="1">
        <f t="shared" si="6"/>
        <v>5.6897279208006175</v>
      </c>
      <c r="N13" s="1">
        <f t="shared" si="6"/>
        <v>6.417710106050234</v>
      </c>
      <c r="O13" s="1">
        <f t="shared" si="6"/>
        <v>6.5519770478546739</v>
      </c>
      <c r="P13" s="1">
        <f t="shared" si="6"/>
        <v>5.3158971383464246</v>
      </c>
      <c r="Q13" s="1">
        <f t="shared" si="6"/>
        <v>5.4681221957992925</v>
      </c>
      <c r="R13" s="5">
        <v>9999999</v>
      </c>
      <c r="S13" s="1">
        <f t="shared" si="6"/>
        <v>0.77441746477912143</v>
      </c>
      <c r="T13" s="1">
        <f t="shared" si="6"/>
        <v>1.7822973679285399</v>
      </c>
      <c r="U13" s="1">
        <f t="shared" si="6"/>
        <v>0.72305368193456387</v>
      </c>
      <c r="V13" s="1">
        <f t="shared" si="6"/>
        <v>1.7765906857731788</v>
      </c>
      <c r="W13" s="1">
        <f t="shared" si="6"/>
        <v>6.7083929023152953</v>
      </c>
      <c r="X13" s="1">
        <f t="shared" si="6"/>
        <v>1.3963166365214341</v>
      </c>
      <c r="Y13" s="1">
        <f t="shared" si="6"/>
        <v>0.82433037988741542</v>
      </c>
      <c r="Z13" s="1">
        <f t="shared" si="6"/>
        <v>3.5679914723192514</v>
      </c>
      <c r="AA13" s="1">
        <f t="shared" si="6"/>
        <v>1.2886094290583654</v>
      </c>
      <c r="AB13" s="1">
        <f t="shared" si="6"/>
        <v>3.4160987125878139</v>
      </c>
      <c r="AC13" s="1">
        <f t="shared" si="6"/>
        <v>2.4602169863913885</v>
      </c>
      <c r="AD13" s="1">
        <f t="shared" si="6"/>
        <v>2.5130576055239424</v>
      </c>
      <c r="AE13" s="1">
        <f t="shared" si="6"/>
        <v>3.8263547674645308</v>
      </c>
      <c r="AF13" s="1">
        <f t="shared" si="6"/>
        <v>3.3465933072280207</v>
      </c>
      <c r="AG13" s="1">
        <f t="shared" si="6"/>
        <v>3.2447715951575939</v>
      </c>
      <c r="AH13" s="1">
        <f t="shared" si="6"/>
        <v>3.4527183068151288</v>
      </c>
      <c r="AI13" s="1">
        <f t="shared" si="6"/>
        <v>3.7355376968162073</v>
      </c>
      <c r="AJ13" s="1">
        <f t="shared" si="6"/>
        <v>3.8464463013179211</v>
      </c>
      <c r="AK13" s="1">
        <f t="shared" si="6"/>
        <v>3.693973404652382</v>
      </c>
      <c r="AL13" s="1">
        <f t="shared" si="6"/>
        <v>4.4415379497098009</v>
      </c>
      <c r="AM13" s="1">
        <f t="shared" si="6"/>
        <v>4.7555676969700205</v>
      </c>
      <c r="AN13" s="1">
        <f t="shared" si="6"/>
        <v>3.353267769367775</v>
      </c>
      <c r="AO13" s="1">
        <f t="shared" si="6"/>
        <v>4.3435563089151215</v>
      </c>
      <c r="AP13" s="1">
        <f t="shared" si="6"/>
        <v>4.4535483561285734</v>
      </c>
      <c r="AQ13" s="1">
        <f t="shared" si="6"/>
        <v>3.1321786224425208</v>
      </c>
      <c r="AR13" s="1">
        <f t="shared" si="6"/>
        <v>4.6919230422785683</v>
      </c>
      <c r="AS13" s="1">
        <f t="shared" si="6"/>
        <v>4.8549813713464323</v>
      </c>
      <c r="AT13" s="1">
        <f t="shared" si="6"/>
        <v>4.7323889897231313</v>
      </c>
      <c r="AU13" s="1">
        <f t="shared" si="6"/>
        <v>4.7480895038045112</v>
      </c>
      <c r="AV13" s="1">
        <f t="shared" si="6"/>
        <v>4.0140344187181336</v>
      </c>
      <c r="AW13" s="1">
        <f t="shared" si="6"/>
        <v>5.4382464292777257</v>
      </c>
      <c r="AX13" s="1">
        <f t="shared" si="6"/>
        <v>4.4631189827866287</v>
      </c>
      <c r="AY13" s="1">
        <f t="shared" si="6"/>
        <v>3.9832304165434018</v>
      </c>
      <c r="AZ13" s="1">
        <f t="shared" si="6"/>
        <v>2.0151479654390778</v>
      </c>
      <c r="BA13" s="1">
        <f t="shared" si="6"/>
        <v>2.0087952872298991</v>
      </c>
      <c r="BB13" s="1">
        <f t="shared" si="6"/>
        <v>2.103391381864165</v>
      </c>
      <c r="BC13" s="1">
        <f t="shared" si="6"/>
        <v>1.4497996128553523</v>
      </c>
      <c r="BD13" s="1">
        <f t="shared" si="6"/>
        <v>2.5979012540609365</v>
      </c>
      <c r="BE13" s="1">
        <f t="shared" si="6"/>
        <v>1.8795354367763804</v>
      </c>
      <c r="BF13" s="1">
        <f t="shared" si="6"/>
        <v>2.0029962372000241</v>
      </c>
      <c r="BG13" s="1">
        <f t="shared" si="6"/>
        <v>2.1551682329965134</v>
      </c>
      <c r="BH13" s="1">
        <f t="shared" si="6"/>
        <v>1.6871974417609272</v>
      </c>
      <c r="BI13" s="1">
        <f t="shared" si="6"/>
        <v>1.792298381245361</v>
      </c>
      <c r="BJ13" s="1">
        <f t="shared" si="6"/>
        <v>1.8897339518653771</v>
      </c>
      <c r="BK13" s="1">
        <f t="shared" si="6"/>
        <v>2.1712745299614546</v>
      </c>
      <c r="BL13" s="1">
        <f t="shared" si="6"/>
        <v>1.6917870668129893</v>
      </c>
      <c r="BM13" s="1">
        <f t="shared" si="6"/>
        <v>1.4252461032053849</v>
      </c>
      <c r="BN13" s="1">
        <f t="shared" si="6"/>
        <v>1.1134614283650173</v>
      </c>
      <c r="BO13" s="1">
        <f t="shared" si="6"/>
        <v>10.909962476987189</v>
      </c>
      <c r="BP13" s="1">
        <f t="shared" si="6"/>
        <v>11.53033676443607</v>
      </c>
      <c r="BQ13" s="1">
        <f t="shared" si="6"/>
        <v>1.782613328698887</v>
      </c>
      <c r="BR13" s="1">
        <f t="shared" si="6"/>
        <v>1.5759788924051668</v>
      </c>
      <c r="BS13" s="1">
        <f t="shared" si="6"/>
        <v>1.4383579525577281</v>
      </c>
      <c r="BT13" s="1">
        <f t="shared" si="6"/>
        <v>2.6638482090039144</v>
      </c>
      <c r="BU13" s="1">
        <f t="shared" si="6"/>
        <v>1.6592265520094394</v>
      </c>
      <c r="BV13" s="1">
        <f t="shared" si="6"/>
        <v>2.6603988115104933</v>
      </c>
      <c r="BW13" s="1">
        <f t="shared" si="6"/>
        <v>2.6893921618249204</v>
      </c>
      <c r="BX13" s="1">
        <f t="shared" si="5"/>
        <v>2.3948473926725438</v>
      </c>
      <c r="BY13" s="1">
        <f t="shared" si="5"/>
        <v>2.9960823101593395</v>
      </c>
      <c r="BZ13" s="1">
        <f t="shared" si="5"/>
        <v>2.9211018054342643</v>
      </c>
      <c r="CA13" s="1">
        <f t="shared" si="5"/>
        <v>3.4570346366772129</v>
      </c>
      <c r="CB13" s="1">
        <f t="shared" si="5"/>
        <v>3.3451001920474863</v>
      </c>
      <c r="CC13" s="1">
        <f t="shared" si="5"/>
        <v>6.8627611464269522</v>
      </c>
      <c r="CD13" s="1">
        <f t="shared" si="5"/>
        <v>8.5101589403721949</v>
      </c>
      <c r="CE13" s="1">
        <f t="shared" si="5"/>
        <v>6.1601028411602705</v>
      </c>
      <c r="CF13" s="1">
        <f t="shared" si="5"/>
        <v>6.1171782700062902</v>
      </c>
      <c r="CH13" s="1" t="s">
        <v>25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  <c r="CR13" s="1">
        <v>0</v>
      </c>
      <c r="CS13" s="1">
        <v>0</v>
      </c>
      <c r="CT13" s="1">
        <v>1</v>
      </c>
      <c r="CU13" s="1">
        <v>0</v>
      </c>
      <c r="CV13" s="1">
        <v>0</v>
      </c>
      <c r="CW13" s="1">
        <v>0</v>
      </c>
      <c r="CX13" s="1">
        <v>0</v>
      </c>
      <c r="CY13" s="1">
        <v>0</v>
      </c>
      <c r="CZ13" s="1">
        <v>0</v>
      </c>
      <c r="DA13" s="1">
        <v>0</v>
      </c>
      <c r="DB13" s="1">
        <v>0</v>
      </c>
      <c r="DC13" s="1">
        <v>0</v>
      </c>
      <c r="DD13" s="1">
        <v>0</v>
      </c>
      <c r="DE13" s="1">
        <v>0</v>
      </c>
      <c r="DF13" s="1">
        <v>0</v>
      </c>
      <c r="DG13" s="1">
        <v>0</v>
      </c>
      <c r="DH13" s="1">
        <v>0</v>
      </c>
      <c r="DI13" s="1">
        <v>0</v>
      </c>
      <c r="DJ13" s="1">
        <v>0</v>
      </c>
      <c r="DK13" s="1">
        <v>0</v>
      </c>
      <c r="DL13" s="1">
        <v>0</v>
      </c>
      <c r="DM13" s="1">
        <v>0</v>
      </c>
      <c r="DN13" s="1">
        <v>0</v>
      </c>
      <c r="DO13" s="1">
        <v>0</v>
      </c>
      <c r="DP13" s="1">
        <v>0</v>
      </c>
      <c r="DQ13" s="1">
        <v>0</v>
      </c>
      <c r="DR13" s="1">
        <v>0</v>
      </c>
      <c r="DS13" s="1">
        <v>0</v>
      </c>
      <c r="DT13" s="1">
        <v>0</v>
      </c>
      <c r="DU13" s="1">
        <v>0</v>
      </c>
      <c r="DV13" s="1">
        <v>0</v>
      </c>
      <c r="DW13" s="1">
        <v>0</v>
      </c>
      <c r="DX13" s="1">
        <v>0</v>
      </c>
      <c r="DY13" s="1">
        <v>0</v>
      </c>
      <c r="DZ13" s="1">
        <v>0</v>
      </c>
      <c r="EA13" s="1">
        <v>0</v>
      </c>
      <c r="EB13" s="1">
        <v>0</v>
      </c>
      <c r="EC13" s="1">
        <v>0</v>
      </c>
      <c r="ED13" s="1">
        <v>0</v>
      </c>
      <c r="EE13" s="1">
        <v>0</v>
      </c>
      <c r="EF13" s="1">
        <v>0</v>
      </c>
      <c r="EG13" s="1">
        <v>0</v>
      </c>
      <c r="EH13" s="1">
        <v>0</v>
      </c>
      <c r="EI13" s="1">
        <v>0</v>
      </c>
      <c r="EJ13" s="1">
        <v>0</v>
      </c>
      <c r="EK13" s="1">
        <v>0</v>
      </c>
      <c r="EL13" s="1">
        <v>0</v>
      </c>
      <c r="EM13" s="1">
        <v>0</v>
      </c>
      <c r="EN13" s="1">
        <v>0</v>
      </c>
      <c r="EO13" s="1">
        <v>0</v>
      </c>
      <c r="EP13" s="1">
        <v>0</v>
      </c>
      <c r="EQ13" s="1">
        <v>0</v>
      </c>
      <c r="ER13" s="1">
        <v>0</v>
      </c>
      <c r="ES13" s="1">
        <v>0</v>
      </c>
      <c r="ET13" s="1">
        <v>0</v>
      </c>
      <c r="EU13" s="1">
        <v>0</v>
      </c>
      <c r="EV13" s="1">
        <v>0</v>
      </c>
      <c r="EW13" s="1">
        <v>0</v>
      </c>
      <c r="EX13" s="1">
        <v>0</v>
      </c>
      <c r="EY13" s="1">
        <v>0</v>
      </c>
      <c r="EZ13" s="1">
        <v>0</v>
      </c>
      <c r="FA13" s="1">
        <v>0</v>
      </c>
      <c r="FB13" s="1">
        <v>0</v>
      </c>
      <c r="FC13" s="1">
        <v>0</v>
      </c>
      <c r="FD13" s="1">
        <v>0</v>
      </c>
      <c r="FE13" s="1">
        <f t="shared" si="0"/>
        <v>0</v>
      </c>
    </row>
    <row r="14" spans="2:161" ht="15.75" thickBot="1" x14ac:dyDescent="0.3">
      <c r="E14" s="1" t="s">
        <v>27</v>
      </c>
      <c r="F14" s="1">
        <v>4</v>
      </c>
      <c r="H14" s="1" t="s">
        <v>98</v>
      </c>
      <c r="I14" s="2">
        <v>31.5469033</v>
      </c>
      <c r="J14" s="2">
        <v>-8.7595462000000008</v>
      </c>
      <c r="K14" s="1">
        <f t="shared" si="3"/>
        <v>7.4125617077322685</v>
      </c>
      <c r="L14" s="1">
        <f t="shared" si="6"/>
        <v>6.8980973910569885</v>
      </c>
      <c r="M14" s="1">
        <f t="shared" si="6"/>
        <v>6.3707445702558454</v>
      </c>
      <c r="N14" s="1">
        <f t="shared" si="6"/>
        <v>7.1548532683433228</v>
      </c>
      <c r="O14" s="1">
        <f t="shared" si="6"/>
        <v>7.2642637887675239</v>
      </c>
      <c r="P14" s="1">
        <f t="shared" si="6"/>
        <v>6.034327820976146</v>
      </c>
      <c r="Q14" s="1">
        <f t="shared" si="6"/>
        <v>6.2393673090110378</v>
      </c>
      <c r="R14" s="1">
        <f t="shared" si="6"/>
        <v>0.77441746477912143</v>
      </c>
      <c r="S14" s="5">
        <v>9999999</v>
      </c>
      <c r="T14" s="1">
        <f t="shared" si="6"/>
        <v>1.0089048724088503</v>
      </c>
      <c r="U14" s="1">
        <f t="shared" si="6"/>
        <v>1.4448226046069916</v>
      </c>
      <c r="V14" s="1">
        <f t="shared" si="6"/>
        <v>1.0031574861904033</v>
      </c>
      <c r="W14" s="1">
        <f t="shared" si="6"/>
        <v>7.424645436447868</v>
      </c>
      <c r="X14" s="1">
        <f t="shared" si="6"/>
        <v>0.8588496396260038</v>
      </c>
      <c r="Y14" s="1">
        <f t="shared" si="6"/>
        <v>0.73487119643998167</v>
      </c>
      <c r="Z14" s="1">
        <f t="shared" si="6"/>
        <v>4.3423170889485663</v>
      </c>
      <c r="AA14" s="1">
        <f t="shared" si="6"/>
        <v>1.9519665816054153</v>
      </c>
      <c r="AB14" s="1">
        <f t="shared" si="6"/>
        <v>4.1763948941797073</v>
      </c>
      <c r="AC14" s="1">
        <f t="shared" si="6"/>
        <v>3.2284834865536687</v>
      </c>
      <c r="AD14" s="1">
        <f t="shared" si="6"/>
        <v>3.1664023394629965</v>
      </c>
      <c r="AE14" s="1">
        <f t="shared" si="6"/>
        <v>4.494618641740697</v>
      </c>
      <c r="AF14" s="1">
        <f t="shared" si="6"/>
        <v>3.9929824832734475</v>
      </c>
      <c r="AG14" s="1">
        <f t="shared" si="6"/>
        <v>3.9117379926715681</v>
      </c>
      <c r="AH14" s="1">
        <f t="shared" si="6"/>
        <v>4.154671185097822</v>
      </c>
      <c r="AI14" s="1">
        <f t="shared" si="6"/>
        <v>4.3899504779953435</v>
      </c>
      <c r="AJ14" s="1">
        <f t="shared" si="6"/>
        <v>4.5392054797962302</v>
      </c>
      <c r="AK14" s="1">
        <f t="shared" si="6"/>
        <v>4.4206069780179558</v>
      </c>
      <c r="AL14" s="1">
        <f t="shared" si="6"/>
        <v>5.0944273442174195</v>
      </c>
      <c r="AM14" s="1">
        <f t="shared" si="6"/>
        <v>5.4550014570753094</v>
      </c>
      <c r="AN14" s="1">
        <f t="shared" si="6"/>
        <v>2.8706738820651179</v>
      </c>
      <c r="AO14" s="1">
        <f t="shared" si="6"/>
        <v>4.1433484813002632</v>
      </c>
      <c r="AP14" s="1">
        <f t="shared" si="6"/>
        <v>3.8909550717512684</v>
      </c>
      <c r="AQ14" s="1">
        <f t="shared" si="6"/>
        <v>2.5870936329350362</v>
      </c>
      <c r="AR14" s="1">
        <f t="shared" si="6"/>
        <v>5.1611230369719667</v>
      </c>
      <c r="AS14" s="1">
        <f t="shared" si="6"/>
        <v>5.3776051298471375</v>
      </c>
      <c r="AT14" s="1">
        <f t="shared" si="6"/>
        <v>5.2580185113944635</v>
      </c>
      <c r="AU14" s="1">
        <f t="shared" si="6"/>
        <v>5.2342526374806715</v>
      </c>
      <c r="AV14" s="1">
        <f t="shared" si="6"/>
        <v>4.4838425541321802</v>
      </c>
      <c r="AW14" s="1">
        <f t="shared" si="6"/>
        <v>6.0827199773570495</v>
      </c>
      <c r="AX14" s="1">
        <f t="shared" si="6"/>
        <v>5.0257278808036023</v>
      </c>
      <c r="AY14" s="1">
        <f t="shared" si="6"/>
        <v>4.5475981058833606</v>
      </c>
      <c r="AZ14" s="1">
        <f t="shared" si="6"/>
        <v>1.4076934797233991</v>
      </c>
      <c r="BA14" s="1">
        <f t="shared" si="6"/>
        <v>1.4268707010519244</v>
      </c>
      <c r="BB14" s="1">
        <f t="shared" si="6"/>
        <v>1.6423744304178656</v>
      </c>
      <c r="BC14" s="1">
        <f t="shared" si="6"/>
        <v>1.0803099331552817</v>
      </c>
      <c r="BD14" s="1">
        <f t="shared" si="6"/>
        <v>2.0881584863401974</v>
      </c>
      <c r="BE14" s="1">
        <f t="shared" si="6"/>
        <v>1.9661759542057526</v>
      </c>
      <c r="BF14" s="1">
        <f t="shared" si="6"/>
        <v>2.3433335301147502</v>
      </c>
      <c r="BG14" s="1">
        <f t="shared" si="6"/>
        <v>2.5486106531430011</v>
      </c>
      <c r="BH14" s="1">
        <f t="shared" si="6"/>
        <v>1.7065786865712369</v>
      </c>
      <c r="BI14" s="1">
        <f t="shared" si="6"/>
        <v>2.158546779660738</v>
      </c>
      <c r="BJ14" s="1">
        <f t="shared" si="6"/>
        <v>2.2767239680676568</v>
      </c>
      <c r="BK14" s="1">
        <f t="shared" si="6"/>
        <v>2.6387366980287061</v>
      </c>
      <c r="BL14" s="1">
        <f t="shared" si="6"/>
        <v>2.0855885787623065</v>
      </c>
      <c r="BM14" s="1">
        <f t="shared" si="6"/>
        <v>1.8486023341033453</v>
      </c>
      <c r="BN14" s="1">
        <f t="shared" si="6"/>
        <v>1.153686803906097</v>
      </c>
      <c r="BO14" s="1">
        <f t="shared" si="6"/>
        <v>10.367108002997794</v>
      </c>
      <c r="BP14" s="1">
        <f t="shared" si="6"/>
        <v>11.049574142929476</v>
      </c>
      <c r="BQ14" s="1">
        <f t="shared" si="6"/>
        <v>2.5317340718826551</v>
      </c>
      <c r="BR14" s="1">
        <f t="shared" si="6"/>
        <v>2.3496500174446582</v>
      </c>
      <c r="BS14" s="1">
        <f t="shared" si="6"/>
        <v>2.1345611622794678</v>
      </c>
      <c r="BT14" s="1">
        <f t="shared" si="6"/>
        <v>3.3876853108206326</v>
      </c>
      <c r="BU14" s="1">
        <f t="shared" si="6"/>
        <v>2.283747573145801</v>
      </c>
      <c r="BV14" s="1">
        <f t="shared" si="6"/>
        <v>3.1361646238918786</v>
      </c>
      <c r="BW14" s="1">
        <f t="shared" si="6"/>
        <v>3.1662306336489641</v>
      </c>
      <c r="BX14" s="1">
        <f t="shared" si="5"/>
        <v>2.8948477075467127</v>
      </c>
      <c r="BY14" s="1">
        <f t="shared" si="5"/>
        <v>3.4898545551596745</v>
      </c>
      <c r="BZ14" s="1">
        <f t="shared" si="5"/>
        <v>3.5261160125105251</v>
      </c>
      <c r="CA14" s="1">
        <f t="shared" si="5"/>
        <v>4.0584177775537791</v>
      </c>
      <c r="CB14" s="1">
        <f t="shared" si="5"/>
        <v>3.9220041424769474</v>
      </c>
      <c r="CC14" s="1">
        <f t="shared" si="5"/>
        <v>6.2425820123457321</v>
      </c>
      <c r="CD14" s="1">
        <f t="shared" si="5"/>
        <v>7.8833962865852731</v>
      </c>
      <c r="CE14" s="1">
        <f t="shared" si="5"/>
        <v>5.509975795202755</v>
      </c>
      <c r="CF14" s="1">
        <f t="shared" si="5"/>
        <v>5.6193469956468558</v>
      </c>
      <c r="CH14" s="1" t="s">
        <v>26</v>
      </c>
      <c r="CI14" s="1">
        <v>1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  <c r="CR14" s="1">
        <v>0</v>
      </c>
      <c r="CS14" s="1">
        <v>0</v>
      </c>
      <c r="CT14" s="1">
        <v>0</v>
      </c>
      <c r="CU14" s="1">
        <v>0</v>
      </c>
      <c r="CV14" s="1">
        <v>0</v>
      </c>
      <c r="CW14" s="1">
        <v>0</v>
      </c>
      <c r="CX14" s="1">
        <v>0</v>
      </c>
      <c r="CY14" s="1">
        <v>0</v>
      </c>
      <c r="CZ14" s="1">
        <v>0</v>
      </c>
      <c r="DA14" s="1">
        <v>0</v>
      </c>
      <c r="DB14" s="1">
        <v>0</v>
      </c>
      <c r="DC14" s="1">
        <v>0</v>
      </c>
      <c r="DD14" s="1">
        <v>0</v>
      </c>
      <c r="DE14" s="1">
        <v>0</v>
      </c>
      <c r="DF14" s="1">
        <v>0</v>
      </c>
      <c r="DG14" s="1">
        <v>0</v>
      </c>
      <c r="DH14" s="1">
        <v>0</v>
      </c>
      <c r="DI14" s="1">
        <v>0</v>
      </c>
      <c r="DJ14" s="1">
        <v>0</v>
      </c>
      <c r="DK14" s="1">
        <v>0</v>
      </c>
      <c r="DL14" s="1">
        <v>0</v>
      </c>
      <c r="DM14" s="1">
        <v>0</v>
      </c>
      <c r="DN14" s="1">
        <v>0</v>
      </c>
      <c r="DO14" s="1">
        <v>0</v>
      </c>
      <c r="DP14" s="1">
        <v>0</v>
      </c>
      <c r="DQ14" s="1">
        <v>0</v>
      </c>
      <c r="DR14" s="1">
        <v>0</v>
      </c>
      <c r="DS14" s="1">
        <v>0</v>
      </c>
      <c r="DT14" s="1">
        <v>0</v>
      </c>
      <c r="DU14" s="1">
        <v>0</v>
      </c>
      <c r="DV14" s="1">
        <v>0</v>
      </c>
      <c r="DW14" s="1">
        <v>0</v>
      </c>
      <c r="DX14" s="1">
        <v>0</v>
      </c>
      <c r="DY14" s="1">
        <v>0</v>
      </c>
      <c r="DZ14" s="1">
        <v>0</v>
      </c>
      <c r="EA14" s="1">
        <v>0</v>
      </c>
      <c r="EB14" s="1">
        <v>0</v>
      </c>
      <c r="EC14" s="1">
        <v>0</v>
      </c>
      <c r="ED14" s="1">
        <v>0</v>
      </c>
      <c r="EE14" s="1">
        <v>0</v>
      </c>
      <c r="EF14" s="1">
        <v>0</v>
      </c>
      <c r="EG14" s="1">
        <v>0</v>
      </c>
      <c r="EH14" s="1">
        <v>0</v>
      </c>
      <c r="EI14" s="1">
        <v>0</v>
      </c>
      <c r="EJ14" s="1">
        <v>0</v>
      </c>
      <c r="EK14" s="1">
        <v>0</v>
      </c>
      <c r="EL14" s="1">
        <v>0</v>
      </c>
      <c r="EM14" s="1">
        <v>0</v>
      </c>
      <c r="EN14" s="1">
        <v>0</v>
      </c>
      <c r="EO14" s="1">
        <v>0</v>
      </c>
      <c r="EP14" s="1">
        <v>0</v>
      </c>
      <c r="EQ14" s="1">
        <v>0</v>
      </c>
      <c r="ER14" s="1">
        <v>0</v>
      </c>
      <c r="ES14" s="1">
        <v>0</v>
      </c>
      <c r="ET14" s="1">
        <v>0</v>
      </c>
      <c r="EU14" s="1">
        <v>0</v>
      </c>
      <c r="EV14" s="1">
        <v>0</v>
      </c>
      <c r="EW14" s="1">
        <v>0</v>
      </c>
      <c r="EX14" s="1">
        <v>0</v>
      </c>
      <c r="EY14" s="1">
        <v>0</v>
      </c>
      <c r="EZ14" s="1">
        <v>0</v>
      </c>
      <c r="FA14" s="1">
        <v>0</v>
      </c>
      <c r="FB14" s="1">
        <v>0</v>
      </c>
      <c r="FC14" s="1">
        <v>0</v>
      </c>
      <c r="FD14" s="1">
        <v>0</v>
      </c>
      <c r="FE14" s="1">
        <f t="shared" si="0"/>
        <v>0</v>
      </c>
    </row>
    <row r="15" spans="2:161" ht="15.75" thickBot="1" x14ac:dyDescent="0.3">
      <c r="E15" s="1" t="s">
        <v>28</v>
      </c>
      <c r="F15" s="1">
        <v>7</v>
      </c>
      <c r="H15" s="1" t="s">
        <v>99</v>
      </c>
      <c r="I15" s="2">
        <v>31.512926700000001</v>
      </c>
      <c r="J15" s="2">
        <v>-9.7678788000000001</v>
      </c>
      <c r="K15" s="1">
        <f t="shared" si="3"/>
        <v>8.3507316325583343</v>
      </c>
      <c r="L15" s="1">
        <f t="shared" si="6"/>
        <v>7.7872839772937095</v>
      </c>
      <c r="M15" s="1">
        <f t="shared" si="6"/>
        <v>7.2569902579308536</v>
      </c>
      <c r="N15" s="1">
        <f t="shared" si="6"/>
        <v>8.1059687382951644</v>
      </c>
      <c r="O15" s="1">
        <f t="shared" si="6"/>
        <v>8.1844070217759484</v>
      </c>
      <c r="P15" s="1">
        <f t="shared" si="6"/>
        <v>6.9654533351198982</v>
      </c>
      <c r="Q15" s="1">
        <f t="shared" si="6"/>
        <v>7.2380992920075924</v>
      </c>
      <c r="R15" s="1">
        <f t="shared" si="6"/>
        <v>1.7822973679285399</v>
      </c>
      <c r="S15" s="1">
        <f t="shared" si="6"/>
        <v>1.0089048724088503</v>
      </c>
      <c r="T15" s="5">
        <v>9999999</v>
      </c>
      <c r="U15" s="1">
        <f t="shared" si="6"/>
        <v>2.4223954097059233</v>
      </c>
      <c r="V15" s="1">
        <f t="shared" si="6"/>
        <v>5.8918294450874776E-3</v>
      </c>
      <c r="W15" s="1">
        <f t="shared" si="6"/>
        <v>8.3492393420541742</v>
      </c>
      <c r="X15" s="1">
        <f t="shared" si="6"/>
        <v>0.92436404198063915</v>
      </c>
      <c r="Y15" s="1">
        <f t="shared" si="6"/>
        <v>1.4364596196985588</v>
      </c>
      <c r="Z15" s="1">
        <f t="shared" si="6"/>
        <v>5.3500087132176617</v>
      </c>
      <c r="AA15" s="1">
        <f t="shared" si="6"/>
        <v>2.917795346193651</v>
      </c>
      <c r="AB15" s="1">
        <f t="shared" si="6"/>
        <v>5.161731408934731</v>
      </c>
      <c r="AC15" s="1">
        <f t="shared" si="6"/>
        <v>4.2367231337426254</v>
      </c>
      <c r="AD15" s="1">
        <f t="shared" si="6"/>
        <v>4.1054456172299902</v>
      </c>
      <c r="AE15" s="1">
        <f t="shared" si="6"/>
        <v>5.3793705294172973</v>
      </c>
      <c r="AF15" s="1">
        <f t="shared" si="6"/>
        <v>4.8611073704776961</v>
      </c>
      <c r="AG15" s="1">
        <f t="shared" si="6"/>
        <v>4.8014187391013312</v>
      </c>
      <c r="AH15" s="1">
        <f t="shared" si="6"/>
        <v>5.0772942331662767</v>
      </c>
      <c r="AI15" s="1">
        <f t="shared" si="6"/>
        <v>5.261376189854146</v>
      </c>
      <c r="AJ15" s="1">
        <f t="shared" si="6"/>
        <v>5.4493049040272572</v>
      </c>
      <c r="AK15" s="1">
        <f t="shared" si="6"/>
        <v>5.3675153830507938</v>
      </c>
      <c r="AL15" s="1">
        <f t="shared" si="6"/>
        <v>5.9573643641464074</v>
      </c>
      <c r="AM15" s="1">
        <f t="shared" si="6"/>
        <v>6.3667338786724814</v>
      </c>
      <c r="AN15" s="1">
        <f t="shared" si="6"/>
        <v>2.5430797868120343</v>
      </c>
      <c r="AO15" s="1">
        <f t="shared" si="6"/>
        <v>4.1616427937845124</v>
      </c>
      <c r="AP15" s="1">
        <f t="shared" si="6"/>
        <v>3.3509569742374681</v>
      </c>
      <c r="AQ15" s="1">
        <f t="shared" si="6"/>
        <v>2.1716513323840299</v>
      </c>
      <c r="AR15" s="1">
        <f t="shared" si="6"/>
        <v>5.8227533294506957</v>
      </c>
      <c r="AS15" s="1">
        <f t="shared" si="6"/>
        <v>6.0948780757572889</v>
      </c>
      <c r="AT15" s="1">
        <f t="shared" si="6"/>
        <v>5.9803842077657778</v>
      </c>
      <c r="AU15" s="1">
        <f t="shared" si="6"/>
        <v>5.9133976742354157</v>
      </c>
      <c r="AV15" s="1">
        <f t="shared" si="6"/>
        <v>5.1601700759573434</v>
      </c>
      <c r="AW15" s="1">
        <f t="shared" si="6"/>
        <v>6.9287718442342383</v>
      </c>
      <c r="AX15" s="1">
        <f t="shared" si="6"/>
        <v>5.791878388839339</v>
      </c>
      <c r="AY15" s="1">
        <f t="shared" si="6"/>
        <v>5.3230155758216338</v>
      </c>
      <c r="AZ15" s="1">
        <f t="shared" si="6"/>
        <v>1.1041423984737</v>
      </c>
      <c r="BA15" s="1">
        <f t="shared" si="6"/>
        <v>1.1777355097080386</v>
      </c>
      <c r="BB15" s="1">
        <f t="shared" si="6"/>
        <v>1.5663203112459509</v>
      </c>
      <c r="BC15" s="1">
        <f t="shared" si="6"/>
        <v>1.3767204856688706</v>
      </c>
      <c r="BD15" s="1">
        <f t="shared" si="6"/>
        <v>1.8146717746178203</v>
      </c>
      <c r="BE15" s="1">
        <f t="shared" si="6"/>
        <v>2.5208001004474321</v>
      </c>
      <c r="BF15" s="1">
        <f t="shared" si="6"/>
        <v>2.9910313762265099</v>
      </c>
      <c r="BG15" s="1">
        <f t="shared" si="6"/>
        <v>3.2284053731021309</v>
      </c>
      <c r="BH15" s="1">
        <f t="shared" si="6"/>
        <v>2.1371672538264765</v>
      </c>
      <c r="BI15" s="1">
        <f t="shared" si="6"/>
        <v>2.8464038604888691</v>
      </c>
      <c r="BJ15" s="1">
        <f t="shared" si="6"/>
        <v>2.9718658065794172</v>
      </c>
      <c r="BK15" s="1">
        <f t="shared" si="6"/>
        <v>3.3796115767976915</v>
      </c>
      <c r="BL15" s="1">
        <f t="shared" si="6"/>
        <v>2.8037364969657355</v>
      </c>
      <c r="BM15" s="1">
        <f t="shared" si="6"/>
        <v>2.6139006231150663</v>
      </c>
      <c r="BN15" s="1">
        <f t="shared" si="6"/>
        <v>1.7607264550151633</v>
      </c>
      <c r="BO15" s="1">
        <f t="shared" si="6"/>
        <v>9.762558008849652</v>
      </c>
      <c r="BP15" s="1">
        <f t="shared" si="6"/>
        <v>10.535701619297827</v>
      </c>
      <c r="BQ15" s="1">
        <f t="shared" si="6"/>
        <v>3.5119207988840131</v>
      </c>
      <c r="BR15" s="1">
        <f t="shared" si="6"/>
        <v>3.3547125986482813</v>
      </c>
      <c r="BS15" s="1">
        <f t="shared" si="6"/>
        <v>3.0791999178607186</v>
      </c>
      <c r="BT15" s="1">
        <f t="shared" si="6"/>
        <v>4.3381982662345617</v>
      </c>
      <c r="BU15" s="1">
        <f t="shared" si="6"/>
        <v>3.1710891896214979</v>
      </c>
      <c r="BV15" s="1">
        <f t="shared" si="6"/>
        <v>3.8606696357642987</v>
      </c>
      <c r="BW15" s="1">
        <f t="shared" ref="BW15:CF18" si="7">SQRT(POWER($I15-BW$4,2)+POWER(BW$5-$J15,2))</f>
        <v>3.8905182973635424</v>
      </c>
      <c r="BX15" s="1">
        <f t="shared" si="7"/>
        <v>3.6523398808896559</v>
      </c>
      <c r="BY15" s="1">
        <f t="shared" si="7"/>
        <v>4.2186358951029321</v>
      </c>
      <c r="BZ15" s="1">
        <f t="shared" si="7"/>
        <v>4.3617894512438946</v>
      </c>
      <c r="CA15" s="1">
        <f t="shared" si="7"/>
        <v>4.8803429068829933</v>
      </c>
      <c r="CB15" s="1">
        <f t="shared" si="7"/>
        <v>4.7218797083573962</v>
      </c>
      <c r="CC15" s="1">
        <f t="shared" si="7"/>
        <v>5.5446935099113439</v>
      </c>
      <c r="CD15" s="1">
        <f t="shared" si="7"/>
        <v>7.1591810205548798</v>
      </c>
      <c r="CE15" s="1">
        <f t="shared" si="7"/>
        <v>4.7678420123629142</v>
      </c>
      <c r="CF15" s="1">
        <f t="shared" si="7"/>
        <v>5.137985436244672</v>
      </c>
      <c r="CH15" s="1" t="s">
        <v>27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1</v>
      </c>
      <c r="CQ15" s="1">
        <v>0</v>
      </c>
      <c r="CR15" s="1">
        <v>0</v>
      </c>
      <c r="CS15" s="1">
        <v>0</v>
      </c>
      <c r="CT15" s="1">
        <v>0</v>
      </c>
      <c r="CU15" s="1">
        <v>0</v>
      </c>
      <c r="CV15" s="1">
        <v>0</v>
      </c>
      <c r="CW15" s="1">
        <v>0</v>
      </c>
      <c r="CX15" s="1">
        <v>0</v>
      </c>
      <c r="CY15" s="1">
        <v>0</v>
      </c>
      <c r="CZ15" s="1">
        <v>0</v>
      </c>
      <c r="DA15" s="1">
        <v>0</v>
      </c>
      <c r="DB15" s="1">
        <v>0</v>
      </c>
      <c r="DC15" s="1">
        <v>0</v>
      </c>
      <c r="DD15" s="1">
        <v>0</v>
      </c>
      <c r="DE15" s="1">
        <v>0</v>
      </c>
      <c r="DF15" s="1">
        <v>0</v>
      </c>
      <c r="DG15" s="1">
        <v>0</v>
      </c>
      <c r="DH15" s="1">
        <v>0</v>
      </c>
      <c r="DI15" s="1">
        <v>0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  <c r="DU15" s="1">
        <v>0</v>
      </c>
      <c r="DV15" s="1">
        <v>0</v>
      </c>
      <c r="DW15" s="1">
        <v>0</v>
      </c>
      <c r="DX15" s="1">
        <v>0</v>
      </c>
      <c r="DY15" s="1">
        <v>0</v>
      </c>
      <c r="DZ15" s="1">
        <v>0</v>
      </c>
      <c r="EA15" s="1">
        <v>0</v>
      </c>
      <c r="EB15" s="1">
        <v>0</v>
      </c>
      <c r="EC15" s="1">
        <v>0</v>
      </c>
      <c r="ED15" s="1">
        <v>0</v>
      </c>
      <c r="EE15" s="1">
        <v>0</v>
      </c>
      <c r="EF15" s="1">
        <v>0</v>
      </c>
      <c r="EG15" s="1">
        <v>0</v>
      </c>
      <c r="EH15" s="1">
        <v>0</v>
      </c>
      <c r="EI15" s="1">
        <v>0</v>
      </c>
      <c r="EJ15" s="1">
        <v>0</v>
      </c>
      <c r="EK15" s="1">
        <v>0</v>
      </c>
      <c r="EL15" s="1">
        <v>0</v>
      </c>
      <c r="EM15" s="1">
        <v>0</v>
      </c>
      <c r="EN15" s="1">
        <v>0</v>
      </c>
      <c r="EO15" s="1">
        <v>0</v>
      </c>
      <c r="EP15" s="1">
        <v>0</v>
      </c>
      <c r="EQ15" s="1">
        <v>0</v>
      </c>
      <c r="ER15" s="1">
        <v>0</v>
      </c>
      <c r="ES15" s="1">
        <v>0</v>
      </c>
      <c r="ET15" s="1">
        <v>0</v>
      </c>
      <c r="EU15" s="1">
        <v>0</v>
      </c>
      <c r="EV15" s="1">
        <v>0</v>
      </c>
      <c r="EW15" s="1">
        <v>0</v>
      </c>
      <c r="EX15" s="1">
        <v>0</v>
      </c>
      <c r="EY15" s="1">
        <v>0</v>
      </c>
      <c r="EZ15" s="1">
        <v>0</v>
      </c>
      <c r="FA15" s="1">
        <v>0</v>
      </c>
      <c r="FB15" s="1">
        <v>0</v>
      </c>
      <c r="FC15" s="1">
        <v>0</v>
      </c>
      <c r="FD15" s="1">
        <v>0</v>
      </c>
      <c r="FE15" s="1">
        <f t="shared" si="0"/>
        <v>0</v>
      </c>
    </row>
    <row r="16" spans="2:161" ht="15.75" thickBot="1" x14ac:dyDescent="0.3">
      <c r="E16" s="1" t="s">
        <v>29</v>
      </c>
      <c r="F16" s="1">
        <v>11</v>
      </c>
      <c r="H16" s="1" t="s">
        <v>100</v>
      </c>
      <c r="I16" s="2">
        <v>32.05433</v>
      </c>
      <c r="J16" s="2">
        <v>-7.4067600000000002</v>
      </c>
      <c r="K16" s="1">
        <f t="shared" si="3"/>
        <v>5.9728901482162184</v>
      </c>
      <c r="L16" s="1">
        <f t="shared" ref="L16:BW19" si="8">SQRT(POWER($I16-L$4,2)+POWER(L$5-$J16,2))</f>
        <v>5.489746204660964</v>
      </c>
      <c r="M16" s="1">
        <f t="shared" si="8"/>
        <v>4.9666827392259512</v>
      </c>
      <c r="N16" s="1">
        <f t="shared" si="8"/>
        <v>5.7113180452818417</v>
      </c>
      <c r="O16" s="1">
        <f t="shared" si="8"/>
        <v>5.8335122263506012</v>
      </c>
      <c r="P16" s="1">
        <f t="shared" si="8"/>
        <v>4.5991945147754931</v>
      </c>
      <c r="Q16" s="1">
        <f t="shared" si="8"/>
        <v>4.8222143322384499</v>
      </c>
      <c r="R16" s="1">
        <f t="shared" si="8"/>
        <v>0.72305368193456387</v>
      </c>
      <c r="S16" s="1">
        <f t="shared" si="8"/>
        <v>1.4448226046069916</v>
      </c>
      <c r="T16" s="1">
        <f t="shared" si="8"/>
        <v>2.4223954097059233</v>
      </c>
      <c r="U16" s="5">
        <v>9999999</v>
      </c>
      <c r="V16" s="1">
        <f t="shared" si="8"/>
        <v>2.4170000276379193</v>
      </c>
      <c r="W16" s="1">
        <f t="shared" si="8"/>
        <v>5.9912416635299701</v>
      </c>
      <c r="X16" s="1">
        <f t="shared" si="8"/>
        <v>1.8359300705637474</v>
      </c>
      <c r="Y16" s="1">
        <f t="shared" si="8"/>
        <v>1.1418469051856295</v>
      </c>
      <c r="Z16" s="1">
        <f t="shared" si="8"/>
        <v>2.9753163745607778</v>
      </c>
      <c r="AA16" s="1">
        <f t="shared" si="8"/>
        <v>1.2377887805833423</v>
      </c>
      <c r="AB16" s="1">
        <f t="shared" si="8"/>
        <v>2.7393531252939987</v>
      </c>
      <c r="AC16" s="1">
        <f t="shared" si="8"/>
        <v>1.9498588039178633</v>
      </c>
      <c r="AD16" s="1">
        <f t="shared" si="8"/>
        <v>2.333196200636801</v>
      </c>
      <c r="AE16" s="1">
        <f t="shared" si="8"/>
        <v>3.1042701658409717</v>
      </c>
      <c r="AF16" s="1">
        <f t="shared" si="8"/>
        <v>2.6293081298241283</v>
      </c>
      <c r="AG16" s="1">
        <f t="shared" si="8"/>
        <v>2.5233188625990626</v>
      </c>
      <c r="AH16" s="1">
        <f t="shared" si="8"/>
        <v>2.730853135107965</v>
      </c>
      <c r="AI16" s="1">
        <f t="shared" si="8"/>
        <v>3.0157298921934315</v>
      </c>
      <c r="AJ16" s="1">
        <f t="shared" si="8"/>
        <v>3.1236872645000795</v>
      </c>
      <c r="AK16" s="1">
        <f t="shared" si="8"/>
        <v>2.9802718146420437</v>
      </c>
      <c r="AL16" s="1">
        <f t="shared" si="8"/>
        <v>3.7213069714916038</v>
      </c>
      <c r="AM16" s="1">
        <f t="shared" si="8"/>
        <v>4.0337930552968402</v>
      </c>
      <c r="AN16" s="1">
        <f t="shared" si="8"/>
        <v>4.0544252097685858</v>
      </c>
      <c r="AO16" s="1">
        <f t="shared" si="8"/>
        <v>4.9228429670225156</v>
      </c>
      <c r="AP16" s="1">
        <f t="shared" si="8"/>
        <v>5.1682909179868144</v>
      </c>
      <c r="AQ16" s="1">
        <f t="shared" si="8"/>
        <v>3.8471881838080568</v>
      </c>
      <c r="AR16" s="1">
        <f t="shared" si="8"/>
        <v>4.0537402129371367</v>
      </c>
      <c r="AS16" s="1">
        <f t="shared" si="8"/>
        <v>4.1846161678838882</v>
      </c>
      <c r="AT16" s="1">
        <f t="shared" si="8"/>
        <v>4.0610529140033069</v>
      </c>
      <c r="AU16" s="1">
        <f t="shared" si="8"/>
        <v>4.0991241755592887</v>
      </c>
      <c r="AV16" s="1">
        <f t="shared" si="8"/>
        <v>3.3819228362392124</v>
      </c>
      <c r="AW16" s="1">
        <f t="shared" si="8"/>
        <v>4.7188631376775492</v>
      </c>
      <c r="AX16" s="1">
        <f t="shared" si="8"/>
        <v>3.774288180303738</v>
      </c>
      <c r="AY16" s="1">
        <f t="shared" si="8"/>
        <v>3.2959772562349392</v>
      </c>
      <c r="AZ16" s="1">
        <f t="shared" si="8"/>
        <v>2.7381901664494896</v>
      </c>
      <c r="BA16" s="1">
        <f t="shared" si="8"/>
        <v>2.7311899220113749</v>
      </c>
      <c r="BB16" s="1">
        <f t="shared" si="8"/>
        <v>2.8105730628095111</v>
      </c>
      <c r="BC16" s="1">
        <f t="shared" si="8"/>
        <v>2.1531457851128706</v>
      </c>
      <c r="BD16" s="1">
        <f t="shared" si="8"/>
        <v>3.3094940644150208</v>
      </c>
      <c r="BE16" s="1">
        <f t="shared" si="8"/>
        <v>2.375578333467034</v>
      </c>
      <c r="BF16" s="1">
        <f t="shared" si="8"/>
        <v>1.5548798655979579</v>
      </c>
      <c r="BG16" s="1">
        <f t="shared" si="8"/>
        <v>1.641600844224175</v>
      </c>
      <c r="BH16" s="1">
        <f t="shared" si="8"/>
        <v>1.608416914656251</v>
      </c>
      <c r="BI16" s="1">
        <f t="shared" si="8"/>
        <v>1.3420104649148636</v>
      </c>
      <c r="BJ16" s="1">
        <f t="shared" si="8"/>
        <v>1.4064420616011895</v>
      </c>
      <c r="BK16" s="1">
        <f t="shared" si="8"/>
        <v>1.5880911020415014</v>
      </c>
      <c r="BL16" s="1">
        <f t="shared" si="8"/>
        <v>1.225812289761939</v>
      </c>
      <c r="BM16" s="1">
        <f t="shared" si="8"/>
        <v>0.97172302120408949</v>
      </c>
      <c r="BN16" s="1">
        <f t="shared" si="8"/>
        <v>1.1793869192560729</v>
      </c>
      <c r="BO16" s="1">
        <f t="shared" si="8"/>
        <v>11.614180596744863</v>
      </c>
      <c r="BP16" s="1">
        <f t="shared" si="8"/>
        <v>12.213880760445624</v>
      </c>
      <c r="BQ16" s="1">
        <f t="shared" si="8"/>
        <v>1.0899667560957991</v>
      </c>
      <c r="BR16" s="1">
        <f t="shared" si="8"/>
        <v>0.99175001714197952</v>
      </c>
      <c r="BS16" s="1">
        <f t="shared" si="8"/>
        <v>0.71585576318581357</v>
      </c>
      <c r="BT16" s="1">
        <f t="shared" si="8"/>
        <v>1.9479449194470042</v>
      </c>
      <c r="BU16" s="1">
        <f t="shared" si="8"/>
        <v>0.96870274499869258</v>
      </c>
      <c r="BV16" s="1">
        <f t="shared" si="8"/>
        <v>2.0496757471485183</v>
      </c>
      <c r="BW16" s="1">
        <f t="shared" si="8"/>
        <v>2.0769375042427227</v>
      </c>
      <c r="BX16" s="1">
        <f t="shared" si="7"/>
        <v>1.773859850775674</v>
      </c>
      <c r="BY16" s="1">
        <f t="shared" si="7"/>
        <v>2.3632700562739326</v>
      </c>
      <c r="BZ16" s="1">
        <f t="shared" si="7"/>
        <v>2.2212592892037599</v>
      </c>
      <c r="CA16" s="1">
        <f t="shared" si="7"/>
        <v>2.7553712020343131</v>
      </c>
      <c r="CB16" s="1">
        <f t="shared" si="7"/>
        <v>2.6558205781552715</v>
      </c>
      <c r="CC16" s="1">
        <f t="shared" si="7"/>
        <v>7.5839618948326999</v>
      </c>
      <c r="CD16" s="1">
        <f t="shared" si="7"/>
        <v>9.2316583539665551</v>
      </c>
      <c r="CE16" s="1">
        <f t="shared" si="7"/>
        <v>6.8831403072731057</v>
      </c>
      <c r="CF16" s="1">
        <f t="shared" si="7"/>
        <v>6.8130256601967982</v>
      </c>
      <c r="CH16" s="1" t="s">
        <v>28</v>
      </c>
      <c r="CI16" s="1">
        <v>1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  <c r="CR16" s="1">
        <v>0</v>
      </c>
      <c r="CS16" s="1">
        <v>0</v>
      </c>
      <c r="CT16" s="1">
        <v>0</v>
      </c>
      <c r="CU16" s="1">
        <v>0</v>
      </c>
      <c r="CV16" s="1">
        <v>0</v>
      </c>
      <c r="CW16" s="1">
        <v>0</v>
      </c>
      <c r="CX16" s="1">
        <v>0</v>
      </c>
      <c r="CY16" s="1">
        <v>0</v>
      </c>
      <c r="CZ16" s="1">
        <v>0</v>
      </c>
      <c r="DA16" s="1">
        <v>0</v>
      </c>
      <c r="DB16" s="1">
        <v>0</v>
      </c>
      <c r="DC16" s="1">
        <v>0</v>
      </c>
      <c r="DD16" s="1">
        <v>0</v>
      </c>
      <c r="DE16" s="1">
        <v>0</v>
      </c>
      <c r="DF16" s="1">
        <v>0</v>
      </c>
      <c r="DG16" s="1">
        <v>0</v>
      </c>
      <c r="DH16" s="1">
        <v>0</v>
      </c>
      <c r="DI16" s="1">
        <v>0</v>
      </c>
      <c r="DJ16" s="1">
        <v>0</v>
      </c>
      <c r="DK16" s="1">
        <v>0</v>
      </c>
      <c r="DL16" s="1">
        <v>0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  <c r="DU16" s="1">
        <v>0</v>
      </c>
      <c r="DV16" s="1">
        <v>0</v>
      </c>
      <c r="DW16" s="1">
        <v>0</v>
      </c>
      <c r="DX16" s="1">
        <v>0</v>
      </c>
      <c r="DY16" s="1">
        <v>0</v>
      </c>
      <c r="DZ16" s="1">
        <v>0</v>
      </c>
      <c r="EA16" s="1">
        <v>0</v>
      </c>
      <c r="EB16" s="1">
        <v>0</v>
      </c>
      <c r="EC16" s="1">
        <v>0</v>
      </c>
      <c r="ED16" s="1">
        <v>0</v>
      </c>
      <c r="EE16" s="1">
        <v>0</v>
      </c>
      <c r="EF16" s="1">
        <v>0</v>
      </c>
      <c r="EG16" s="1">
        <v>0</v>
      </c>
      <c r="EH16" s="1">
        <v>0</v>
      </c>
      <c r="EI16" s="1">
        <v>0</v>
      </c>
      <c r="EJ16" s="1">
        <v>0</v>
      </c>
      <c r="EK16" s="1">
        <v>0</v>
      </c>
      <c r="EL16" s="1">
        <v>0</v>
      </c>
      <c r="EM16" s="1">
        <v>0</v>
      </c>
      <c r="EN16" s="1">
        <v>0</v>
      </c>
      <c r="EO16" s="1">
        <v>0</v>
      </c>
      <c r="EP16" s="1">
        <v>0</v>
      </c>
      <c r="EQ16" s="1">
        <v>0</v>
      </c>
      <c r="ER16" s="1">
        <v>0</v>
      </c>
      <c r="ES16" s="1">
        <v>0</v>
      </c>
      <c r="ET16" s="1">
        <v>0</v>
      </c>
      <c r="EU16" s="1">
        <v>0</v>
      </c>
      <c r="EV16" s="1">
        <v>0</v>
      </c>
      <c r="EW16" s="1">
        <v>0</v>
      </c>
      <c r="EX16" s="1">
        <v>0</v>
      </c>
      <c r="EY16" s="1">
        <v>0</v>
      </c>
      <c r="EZ16" s="1">
        <v>0</v>
      </c>
      <c r="FA16" s="1">
        <v>0</v>
      </c>
      <c r="FB16" s="1">
        <v>0</v>
      </c>
      <c r="FC16" s="1">
        <v>0</v>
      </c>
      <c r="FD16" s="1">
        <v>0</v>
      </c>
      <c r="FE16" s="1">
        <f t="shared" si="0"/>
        <v>0</v>
      </c>
    </row>
    <row r="17" spans="5:161" ht="15.75" thickBot="1" x14ac:dyDescent="0.3">
      <c r="E17" s="1" t="s">
        <v>30</v>
      </c>
      <c r="F17" s="1">
        <v>14</v>
      </c>
      <c r="H17" s="1" t="s">
        <v>101</v>
      </c>
      <c r="I17" s="2">
        <v>31.511828099999999</v>
      </c>
      <c r="J17" s="2">
        <v>-9.7620903000000006</v>
      </c>
      <c r="K17" s="1">
        <f t="shared" si="3"/>
        <v>8.3457880055131177</v>
      </c>
      <c r="L17" s="1">
        <f t="shared" si="8"/>
        <v>7.7827102550033871</v>
      </c>
      <c r="M17" s="1">
        <f t="shared" si="8"/>
        <v>7.2524291364616387</v>
      </c>
      <c r="N17" s="1">
        <f t="shared" si="8"/>
        <v>8.1009156359053698</v>
      </c>
      <c r="O17" s="1">
        <f t="shared" si="8"/>
        <v>8.1796050352242151</v>
      </c>
      <c r="P17" s="1">
        <f t="shared" si="8"/>
        <v>6.9605504434366754</v>
      </c>
      <c r="Q17" s="1">
        <f t="shared" si="8"/>
        <v>7.2325713082792307</v>
      </c>
      <c r="R17" s="1">
        <f t="shared" si="8"/>
        <v>1.7765906857731788</v>
      </c>
      <c r="S17" s="1">
        <f t="shared" si="8"/>
        <v>1.0031574861904033</v>
      </c>
      <c r="T17" s="1">
        <f t="shared" si="8"/>
        <v>5.8918294450874776E-3</v>
      </c>
      <c r="U17" s="1">
        <f t="shared" si="8"/>
        <v>2.4170000276379193</v>
      </c>
      <c r="V17" s="5">
        <v>9999999</v>
      </c>
      <c r="W17" s="1">
        <f t="shared" si="8"/>
        <v>8.3444043003627506</v>
      </c>
      <c r="X17" s="1">
        <f t="shared" si="8"/>
        <v>0.92190867925488484</v>
      </c>
      <c r="Y17" s="1">
        <f t="shared" si="8"/>
        <v>1.4320469746227262</v>
      </c>
      <c r="Z17" s="1">
        <f t="shared" si="8"/>
        <v>5.344323432985786</v>
      </c>
      <c r="AA17" s="1">
        <f t="shared" si="8"/>
        <v>2.9119043707067886</v>
      </c>
      <c r="AB17" s="1">
        <f t="shared" si="8"/>
        <v>5.1563419167295432</v>
      </c>
      <c r="AC17" s="1">
        <f t="shared" si="8"/>
        <v>4.2309369697663071</v>
      </c>
      <c r="AD17" s="1">
        <f t="shared" si="8"/>
        <v>4.0995864195037166</v>
      </c>
      <c r="AE17" s="1">
        <f t="shared" si="8"/>
        <v>5.3747737136725497</v>
      </c>
      <c r="AF17" s="1">
        <f t="shared" si="8"/>
        <v>4.8566038982302091</v>
      </c>
      <c r="AG17" s="1">
        <f t="shared" si="8"/>
        <v>4.7967663499050293</v>
      </c>
      <c r="AH17" s="1">
        <f t="shared" si="8"/>
        <v>5.0724179465524042</v>
      </c>
      <c r="AI17" s="1">
        <f t="shared" si="8"/>
        <v>5.2568669845346214</v>
      </c>
      <c r="AJ17" s="1">
        <f t="shared" si="8"/>
        <v>5.4445304032629389</v>
      </c>
      <c r="AK17" s="1">
        <f t="shared" si="8"/>
        <v>5.3624615977820129</v>
      </c>
      <c r="AL17" s="1">
        <f t="shared" si="8"/>
        <v>5.9529371563496394</v>
      </c>
      <c r="AM17" s="1">
        <f t="shared" si="8"/>
        <v>6.3619688407482267</v>
      </c>
      <c r="AN17" s="1">
        <f t="shared" si="8"/>
        <v>2.5426542022161489</v>
      </c>
      <c r="AO17" s="1">
        <f t="shared" si="8"/>
        <v>4.1595653671085921</v>
      </c>
      <c r="AP17" s="1">
        <f t="shared" si="8"/>
        <v>3.352252473488786</v>
      </c>
      <c r="AQ17" s="1">
        <f t="shared" si="8"/>
        <v>2.1716558864060973</v>
      </c>
      <c r="AR17" s="1">
        <f t="shared" si="8"/>
        <v>5.8196187414816434</v>
      </c>
      <c r="AS17" s="1">
        <f t="shared" si="8"/>
        <v>6.0914104185755313</v>
      </c>
      <c r="AT17" s="1">
        <f t="shared" si="8"/>
        <v>5.9768787716517133</v>
      </c>
      <c r="AU17" s="1">
        <f t="shared" si="8"/>
        <v>5.9101596560863383</v>
      </c>
      <c r="AV17" s="1">
        <f t="shared" si="8"/>
        <v>5.156901223616412</v>
      </c>
      <c r="AW17" s="1">
        <f t="shared" si="8"/>
        <v>6.9244878060039445</v>
      </c>
      <c r="AX17" s="1">
        <f t="shared" si="8"/>
        <v>5.7880852299580221</v>
      </c>
      <c r="AY17" s="1">
        <f t="shared" si="8"/>
        <v>5.319139427259123</v>
      </c>
      <c r="AZ17" s="1">
        <f t="shared" si="8"/>
        <v>1.1022130500613119</v>
      </c>
      <c r="BA17" s="1">
        <f t="shared" si="8"/>
        <v>1.1755785136903441</v>
      </c>
      <c r="BB17" s="1">
        <f t="shared" si="8"/>
        <v>1.5636681408744086</v>
      </c>
      <c r="BC17" s="1">
        <f t="shared" si="8"/>
        <v>1.3721065733992301</v>
      </c>
      <c r="BD17" s="1">
        <f t="shared" si="8"/>
        <v>1.8134658227863711</v>
      </c>
      <c r="BE17" s="1">
        <f t="shared" si="8"/>
        <v>2.5159029821124359</v>
      </c>
      <c r="BF17" s="1">
        <f t="shared" si="8"/>
        <v>2.987643119189324</v>
      </c>
      <c r="BG17" s="1">
        <f t="shared" si="8"/>
        <v>3.2248869424178657</v>
      </c>
      <c r="BH17" s="1">
        <f t="shared" si="8"/>
        <v>2.1346255273656807</v>
      </c>
      <c r="BI17" s="1">
        <f t="shared" si="8"/>
        <v>2.8427578586864057</v>
      </c>
      <c r="BJ17" s="1">
        <f t="shared" si="8"/>
        <v>2.968208345472823</v>
      </c>
      <c r="BK17" s="1">
        <f t="shared" si="8"/>
        <v>3.3757684407063198</v>
      </c>
      <c r="BL17" s="1">
        <f t="shared" si="8"/>
        <v>2.7999129969198497</v>
      </c>
      <c r="BM17" s="1">
        <f t="shared" si="8"/>
        <v>2.6097732301313292</v>
      </c>
      <c r="BN17" s="1">
        <f t="shared" si="8"/>
        <v>1.7570249809862639</v>
      </c>
      <c r="BO17" s="1">
        <f t="shared" si="8"/>
        <v>9.7647477795126481</v>
      </c>
      <c r="BP17" s="1">
        <f t="shared" si="8"/>
        <v>10.537288573401181</v>
      </c>
      <c r="BQ17" s="1">
        <f t="shared" si="8"/>
        <v>3.5065505449130634</v>
      </c>
      <c r="BR17" s="1">
        <f t="shared" si="8"/>
        <v>3.349074468027458</v>
      </c>
      <c r="BS17" s="1">
        <f t="shared" si="8"/>
        <v>3.0740802374258047</v>
      </c>
      <c r="BT17" s="1">
        <f t="shared" si="8"/>
        <v>4.3330912748154402</v>
      </c>
      <c r="BU17" s="1">
        <f t="shared" si="8"/>
        <v>3.1663484826025243</v>
      </c>
      <c r="BV17" s="1">
        <f t="shared" si="8"/>
        <v>3.8569875834847105</v>
      </c>
      <c r="BW17" s="1">
        <f t="shared" si="8"/>
        <v>3.8868410959649093</v>
      </c>
      <c r="BX17" s="1">
        <f t="shared" si="7"/>
        <v>3.6484366611720391</v>
      </c>
      <c r="BY17" s="1">
        <f t="shared" si="7"/>
        <v>4.214967325307434</v>
      </c>
      <c r="BZ17" s="1">
        <f t="shared" si="7"/>
        <v>4.3574709924341777</v>
      </c>
      <c r="CA17" s="1">
        <f t="shared" si="7"/>
        <v>4.876144195044783</v>
      </c>
      <c r="CB17" s="1">
        <f t="shared" si="7"/>
        <v>4.7178125620208045</v>
      </c>
      <c r="CC17" s="1">
        <f t="shared" si="7"/>
        <v>5.5474106432823618</v>
      </c>
      <c r="CD17" s="1">
        <f t="shared" si="7"/>
        <v>7.1621691345299583</v>
      </c>
      <c r="CE17" s="1">
        <f t="shared" si="7"/>
        <v>4.7708544218230848</v>
      </c>
      <c r="CF17" s="1">
        <f t="shared" si="7"/>
        <v>5.1391110942753224</v>
      </c>
      <c r="CH17" s="1" t="s">
        <v>29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  <c r="CR17" s="1">
        <v>0</v>
      </c>
      <c r="CS17" s="1">
        <v>0</v>
      </c>
      <c r="CT17" s="1">
        <v>0</v>
      </c>
      <c r="CU17" s="1">
        <v>0</v>
      </c>
      <c r="CV17" s="1">
        <v>0</v>
      </c>
      <c r="CW17" s="1">
        <v>0</v>
      </c>
      <c r="CX17" s="1">
        <v>0</v>
      </c>
      <c r="CY17" s="1">
        <v>0</v>
      </c>
      <c r="CZ17" s="1">
        <v>0</v>
      </c>
      <c r="DA17" s="1">
        <v>0</v>
      </c>
      <c r="DB17" s="1">
        <v>0</v>
      </c>
      <c r="DC17" s="1">
        <v>0</v>
      </c>
      <c r="DD17" s="1">
        <v>0</v>
      </c>
      <c r="DE17" s="1">
        <v>0</v>
      </c>
      <c r="DF17" s="1">
        <v>0</v>
      </c>
      <c r="DG17" s="1">
        <v>0</v>
      </c>
      <c r="DH17" s="1">
        <v>0</v>
      </c>
      <c r="DI17" s="1">
        <v>0</v>
      </c>
      <c r="DJ17" s="1">
        <v>0</v>
      </c>
      <c r="DK17" s="1">
        <v>0</v>
      </c>
      <c r="DL17" s="1">
        <v>0</v>
      </c>
      <c r="DM17" s="1">
        <v>0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  <c r="DU17" s="1">
        <v>0</v>
      </c>
      <c r="DV17" s="1">
        <v>0</v>
      </c>
      <c r="DW17" s="1">
        <v>0</v>
      </c>
      <c r="DX17" s="1">
        <v>0</v>
      </c>
      <c r="DY17" s="1">
        <v>0</v>
      </c>
      <c r="DZ17" s="1">
        <v>0</v>
      </c>
      <c r="EA17" s="1">
        <v>0</v>
      </c>
      <c r="EB17" s="1">
        <v>0</v>
      </c>
      <c r="EC17" s="1">
        <v>0</v>
      </c>
      <c r="ED17" s="1">
        <v>0</v>
      </c>
      <c r="EE17" s="1">
        <v>0</v>
      </c>
      <c r="EF17" s="1">
        <v>0</v>
      </c>
      <c r="EG17" s="1">
        <v>0</v>
      </c>
      <c r="EH17" s="1">
        <v>0</v>
      </c>
      <c r="EI17" s="1">
        <v>0</v>
      </c>
      <c r="EJ17" s="1">
        <v>0</v>
      </c>
      <c r="EK17" s="1">
        <v>0</v>
      </c>
      <c r="EL17" s="1">
        <v>1</v>
      </c>
      <c r="EM17" s="1">
        <v>0</v>
      </c>
      <c r="EN17" s="1">
        <v>0</v>
      </c>
      <c r="EO17" s="1">
        <v>0</v>
      </c>
      <c r="EP17" s="1">
        <v>0</v>
      </c>
      <c r="EQ17" s="1">
        <v>0</v>
      </c>
      <c r="ER17" s="1">
        <v>0</v>
      </c>
      <c r="ES17" s="1">
        <v>0</v>
      </c>
      <c r="ET17" s="1">
        <v>0</v>
      </c>
      <c r="EU17" s="1">
        <v>0</v>
      </c>
      <c r="EV17" s="1">
        <v>0</v>
      </c>
      <c r="EW17" s="1">
        <v>0</v>
      </c>
      <c r="EX17" s="1">
        <v>0</v>
      </c>
      <c r="EY17" s="1">
        <v>0</v>
      </c>
      <c r="EZ17" s="1">
        <v>0</v>
      </c>
      <c r="FA17" s="1">
        <v>0</v>
      </c>
      <c r="FB17" s="1">
        <v>0</v>
      </c>
      <c r="FC17" s="1">
        <v>0</v>
      </c>
      <c r="FD17" s="1">
        <v>0</v>
      </c>
      <c r="FE17" s="1">
        <f t="shared" si="0"/>
        <v>0</v>
      </c>
    </row>
    <row r="18" spans="5:161" ht="15.75" thickBot="1" x14ac:dyDescent="0.3">
      <c r="E18" s="1" t="s">
        <v>31</v>
      </c>
      <c r="F18" s="1">
        <v>9</v>
      </c>
      <c r="H18" s="1" t="s">
        <v>102</v>
      </c>
      <c r="I18" s="2">
        <v>34.921333699999998</v>
      </c>
      <c r="J18" s="2">
        <v>-2.1460313000000002</v>
      </c>
      <c r="K18" s="1">
        <f t="shared" si="3"/>
        <v>0.27579912479940971</v>
      </c>
      <c r="L18" s="1">
        <f t="shared" si="8"/>
        <v>0.81801905458932889</v>
      </c>
      <c r="M18" s="1">
        <f t="shared" si="8"/>
        <v>1.2462148989204787</v>
      </c>
      <c r="N18" s="1">
        <f t="shared" si="8"/>
        <v>0.61096192734292443</v>
      </c>
      <c r="O18" s="1">
        <f t="shared" si="8"/>
        <v>0.18345518705667607</v>
      </c>
      <c r="P18" s="1">
        <f t="shared" si="8"/>
        <v>1.3925772940547976</v>
      </c>
      <c r="Q18" s="1">
        <f t="shared" si="8"/>
        <v>2.2674324649830031</v>
      </c>
      <c r="R18" s="1">
        <f t="shared" si="8"/>
        <v>6.7083929023152953</v>
      </c>
      <c r="S18" s="1">
        <f t="shared" si="8"/>
        <v>7.424645436447868</v>
      </c>
      <c r="T18" s="1">
        <f t="shared" si="8"/>
        <v>8.3492393420541742</v>
      </c>
      <c r="U18" s="1">
        <f t="shared" si="8"/>
        <v>5.9912416635299701</v>
      </c>
      <c r="V18" s="1">
        <f t="shared" si="8"/>
        <v>8.3444043003627506</v>
      </c>
      <c r="W18" s="5">
        <v>9999999</v>
      </c>
      <c r="X18" s="1">
        <f t="shared" si="8"/>
        <v>7.5661191384045035</v>
      </c>
      <c r="Y18" s="1">
        <f t="shared" si="8"/>
        <v>6.9242095967257207</v>
      </c>
      <c r="Z18" s="1">
        <f t="shared" si="8"/>
        <v>3.7667888713755153</v>
      </c>
      <c r="AA18" s="1">
        <f t="shared" si="8"/>
        <v>6.2220028780068359</v>
      </c>
      <c r="AB18" s="1">
        <f t="shared" si="8"/>
        <v>3.4278507346752107</v>
      </c>
      <c r="AC18" s="1">
        <f t="shared" si="8"/>
        <v>4.7978274829992555</v>
      </c>
      <c r="AD18" s="1">
        <f t="shared" si="8"/>
        <v>5.8925944201532285</v>
      </c>
      <c r="AE18" s="1">
        <f t="shared" si="8"/>
        <v>3.0040019711088357</v>
      </c>
      <c r="AF18" s="1">
        <f t="shared" si="8"/>
        <v>3.5372985860943551</v>
      </c>
      <c r="AG18" s="1">
        <f t="shared" si="8"/>
        <v>3.5631397456678533</v>
      </c>
      <c r="AH18" s="1">
        <f t="shared" si="8"/>
        <v>3.2729545747698015</v>
      </c>
      <c r="AI18" s="1">
        <f t="shared" si="8"/>
        <v>3.1459291175756285</v>
      </c>
      <c r="AJ18" s="1">
        <f t="shared" si="8"/>
        <v>2.9023745097551732</v>
      </c>
      <c r="AK18" s="1">
        <f t="shared" si="8"/>
        <v>3.0167237977842793</v>
      </c>
      <c r="AL18" s="1">
        <f t="shared" si="8"/>
        <v>2.5192249335540837</v>
      </c>
      <c r="AM18" s="1">
        <f t="shared" si="8"/>
        <v>1.9880882843120857</v>
      </c>
      <c r="AN18" s="1">
        <f t="shared" si="8"/>
        <v>9.8900922030235208</v>
      </c>
      <c r="AO18" s="1">
        <f t="shared" si="8"/>
        <v>10.199239210151225</v>
      </c>
      <c r="AP18" s="1">
        <f t="shared" si="8"/>
        <v>11.053915343750454</v>
      </c>
      <c r="AQ18" s="1">
        <f t="shared" si="8"/>
        <v>9.753216711780178</v>
      </c>
      <c r="AR18" s="1">
        <f t="shared" si="8"/>
        <v>3.7560640049286063</v>
      </c>
      <c r="AS18" s="1">
        <f t="shared" si="8"/>
        <v>3.2672904723076348</v>
      </c>
      <c r="AT18" s="1">
        <f t="shared" si="8"/>
        <v>3.2928056738971678</v>
      </c>
      <c r="AU18" s="1">
        <f t="shared" si="8"/>
        <v>3.6046829719151052</v>
      </c>
      <c r="AV18" s="1">
        <f t="shared" si="8"/>
        <v>4.0162322666892516</v>
      </c>
      <c r="AW18" s="1">
        <f t="shared" si="8"/>
        <v>1.8132958049364645</v>
      </c>
      <c r="AX18" s="1">
        <f t="shared" si="8"/>
        <v>3.1404938638312316</v>
      </c>
      <c r="AY18" s="1">
        <f t="shared" si="8"/>
        <v>3.4347216300815089</v>
      </c>
      <c r="AZ18" s="1">
        <f t="shared" si="8"/>
        <v>8.7109797860311033</v>
      </c>
      <c r="BA18" s="1">
        <f t="shared" si="8"/>
        <v>8.694720687577961</v>
      </c>
      <c r="BB18" s="1">
        <f t="shared" si="8"/>
        <v>8.7062689355823721</v>
      </c>
      <c r="BC18" s="1">
        <f t="shared" si="8"/>
        <v>8.0602432418065248</v>
      </c>
      <c r="BD18" s="1">
        <f t="shared" si="8"/>
        <v>9.2093820209107466</v>
      </c>
      <c r="BE18" s="1">
        <f t="shared" si="8"/>
        <v>7.7906375478804879</v>
      </c>
      <c r="BF18" s="1">
        <f t="shared" si="8"/>
        <v>5.6325033249578196</v>
      </c>
      <c r="BG18" s="1">
        <f t="shared" si="8"/>
        <v>5.3846087920633163</v>
      </c>
      <c r="BH18" s="1">
        <f t="shared" si="8"/>
        <v>6.5746817770102064</v>
      </c>
      <c r="BI18" s="1">
        <f t="shared" si="8"/>
        <v>5.6859303667912569</v>
      </c>
      <c r="BJ18" s="1">
        <f t="shared" si="8"/>
        <v>5.5695590826451404</v>
      </c>
      <c r="BK18" s="1">
        <f t="shared" si="8"/>
        <v>5.1451141290349778</v>
      </c>
      <c r="BL18" s="1">
        <f t="shared" si="8"/>
        <v>5.6811148251275343</v>
      </c>
      <c r="BM18" s="1">
        <f t="shared" si="8"/>
        <v>5.8004478559160733</v>
      </c>
      <c r="BN18" s="1">
        <f t="shared" si="8"/>
        <v>6.6761462838482633</v>
      </c>
      <c r="BO18" s="1">
        <f t="shared" si="8"/>
        <v>17.354541384010023</v>
      </c>
      <c r="BP18" s="1">
        <f t="shared" si="8"/>
        <v>17.786661820339383</v>
      </c>
      <c r="BQ18" s="1">
        <f t="shared" si="8"/>
        <v>4.9390992524578996</v>
      </c>
      <c r="BR18" s="1">
        <f t="shared" si="8"/>
        <v>5.2612650075746785</v>
      </c>
      <c r="BS18" s="1">
        <f t="shared" si="8"/>
        <v>5.2901057677701635</v>
      </c>
      <c r="BT18" s="1">
        <f t="shared" si="8"/>
        <v>4.0445454158182503</v>
      </c>
      <c r="BU18" s="1">
        <f t="shared" si="8"/>
        <v>5.1800313075989575</v>
      </c>
      <c r="BV18" s="1">
        <f t="shared" si="8"/>
        <v>4.7734067909381546</v>
      </c>
      <c r="BW18" s="1">
        <f t="shared" si="8"/>
        <v>4.7495521691589584</v>
      </c>
      <c r="BX18" s="1">
        <f t="shared" si="7"/>
        <v>4.876469610856887</v>
      </c>
      <c r="BY18" s="1">
        <f t="shared" si="7"/>
        <v>4.472620366876555</v>
      </c>
      <c r="BZ18" s="1">
        <f t="shared" si="7"/>
        <v>4.0753360503291729</v>
      </c>
      <c r="CA18" s="1">
        <f t="shared" si="7"/>
        <v>3.6324939892996615</v>
      </c>
      <c r="CB18" s="1">
        <f t="shared" si="7"/>
        <v>3.8386405389946816</v>
      </c>
      <c r="CC18" s="1">
        <f t="shared" si="7"/>
        <v>13.505994721166134</v>
      </c>
      <c r="CD18" s="1">
        <f t="shared" si="7"/>
        <v>15.151530594827657</v>
      </c>
      <c r="CE18" s="1">
        <f t="shared" si="7"/>
        <v>12.84224914465271</v>
      </c>
      <c r="CF18" s="1">
        <f t="shared" si="7"/>
        <v>12.555484893437423</v>
      </c>
      <c r="CH18" s="1" t="s">
        <v>30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1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  <c r="EU18" s="1">
        <v>0</v>
      </c>
      <c r="EV18" s="1">
        <v>0</v>
      </c>
      <c r="EW18" s="1">
        <v>0</v>
      </c>
      <c r="EX18" s="1">
        <v>0</v>
      </c>
      <c r="EY18" s="1">
        <v>0</v>
      </c>
      <c r="EZ18" s="1">
        <v>0</v>
      </c>
      <c r="FA18" s="1">
        <v>0</v>
      </c>
      <c r="FB18" s="1">
        <v>0</v>
      </c>
      <c r="FC18" s="1">
        <v>0</v>
      </c>
      <c r="FD18" s="1">
        <v>0</v>
      </c>
      <c r="FE18" s="1">
        <f t="shared" si="0"/>
        <v>0</v>
      </c>
    </row>
    <row r="19" spans="5:161" ht="15.75" thickBot="1" x14ac:dyDescent="0.3">
      <c r="E19" s="1" t="s">
        <v>32</v>
      </c>
      <c r="F19" s="1">
        <v>6</v>
      </c>
      <c r="H19" s="1" t="s">
        <v>103</v>
      </c>
      <c r="I19" s="2">
        <v>32.265077599999998</v>
      </c>
      <c r="J19" s="2">
        <v>-9.2305540325306605</v>
      </c>
      <c r="K19" s="1">
        <f t="shared" si="3"/>
        <v>7.5850969387002385</v>
      </c>
      <c r="L19" s="1">
        <f t="shared" si="8"/>
        <v>6.9693724157817352</v>
      </c>
      <c r="M19" s="1">
        <f t="shared" si="8"/>
        <v>6.4385192847318198</v>
      </c>
      <c r="N19" s="1">
        <f t="shared" si="8"/>
        <v>7.3604966477960918</v>
      </c>
      <c r="O19" s="1">
        <f t="shared" si="8"/>
        <v>7.3966147852915896</v>
      </c>
      <c r="P19" s="1">
        <f t="shared" si="8"/>
        <v>6.1965228480598373</v>
      </c>
      <c r="Q19" s="1">
        <f t="shared" si="8"/>
        <v>6.6164883418612837</v>
      </c>
      <c r="R19" s="1">
        <f t="shared" si="8"/>
        <v>1.3963166365214341</v>
      </c>
      <c r="S19" s="1">
        <f t="shared" si="8"/>
        <v>0.8588496396260038</v>
      </c>
      <c r="T19" s="1">
        <f t="shared" si="8"/>
        <v>0.92436404198063915</v>
      </c>
      <c r="U19" s="1">
        <f t="shared" si="8"/>
        <v>1.8359300705637474</v>
      </c>
      <c r="V19" s="1">
        <f t="shared" si="8"/>
        <v>0.92190867925488484</v>
      </c>
      <c r="W19" s="1">
        <f t="shared" si="8"/>
        <v>7.5661191384045035</v>
      </c>
      <c r="X19" s="5">
        <v>9999999</v>
      </c>
      <c r="Y19" s="1">
        <f t="shared" si="8"/>
        <v>0.69838111798132474</v>
      </c>
      <c r="Z19" s="1">
        <f t="shared" si="8"/>
        <v>4.8082267801142384</v>
      </c>
      <c r="AA19" s="1">
        <f t="shared" si="8"/>
        <v>2.681306158273689</v>
      </c>
      <c r="AB19" s="1">
        <f t="shared" si="8"/>
        <v>4.509816987239442</v>
      </c>
      <c r="AC19" s="1">
        <f t="shared" si="8"/>
        <v>3.7734131903745918</v>
      </c>
      <c r="AD19" s="1">
        <f t="shared" si="8"/>
        <v>3.9073519955616769</v>
      </c>
      <c r="AE19" s="1">
        <f t="shared" si="8"/>
        <v>4.5708030799792221</v>
      </c>
      <c r="AF19" s="1">
        <f t="shared" si="8"/>
        <v>4.0429049720654069</v>
      </c>
      <c r="AG19" s="1">
        <f t="shared" si="8"/>
        <v>4.003221556197361</v>
      </c>
      <c r="AH19" s="1">
        <f t="shared" si="8"/>
        <v>4.3121118539903494</v>
      </c>
      <c r="AI19" s="1">
        <f t="shared" si="8"/>
        <v>4.4421472494441616</v>
      </c>
      <c r="AJ19" s="1">
        <f t="shared" si="8"/>
        <v>4.6656795974294001</v>
      </c>
      <c r="AK19" s="1">
        <f t="shared" si="8"/>
        <v>4.6331408071113733</v>
      </c>
      <c r="AL19" s="1">
        <f t="shared" si="8"/>
        <v>5.1262385993680324</v>
      </c>
      <c r="AM19" s="1">
        <f t="shared" si="8"/>
        <v>5.5780487385948998</v>
      </c>
      <c r="AN19" s="1">
        <f t="shared" si="8"/>
        <v>3.3813541893089187</v>
      </c>
      <c r="AO19" s="1">
        <f t="shared" si="8"/>
        <v>4.8547233058143595</v>
      </c>
      <c r="AP19" s="1">
        <f t="shared" si="8"/>
        <v>4.2590819919512501</v>
      </c>
      <c r="AQ19" s="1">
        <f t="shared" si="8"/>
        <v>3.0354931940521008</v>
      </c>
      <c r="AR19" s="1">
        <f t="shared" si="8"/>
        <v>4.9074628921543617</v>
      </c>
      <c r="AS19" s="1">
        <f t="shared" si="8"/>
        <v>5.1915260682991677</v>
      </c>
      <c r="AT19" s="1">
        <f t="shared" si="8"/>
        <v>5.0788322228223057</v>
      </c>
      <c r="AU19" s="1">
        <f t="shared" si="8"/>
        <v>5.0012428932463688</v>
      </c>
      <c r="AV19" s="1">
        <f t="shared" si="8"/>
        <v>4.2494332840006335</v>
      </c>
      <c r="AW19" s="1">
        <f t="shared" si="8"/>
        <v>6.0806675805866846</v>
      </c>
      <c r="AX19" s="1">
        <f t="shared" si="8"/>
        <v>4.9063580202261647</v>
      </c>
      <c r="AY19" s="1">
        <f t="shared" si="8"/>
        <v>4.4437540851979289</v>
      </c>
      <c r="AZ19" s="1">
        <f t="shared" si="8"/>
        <v>1.8816462593131962</v>
      </c>
      <c r="BA19" s="1">
        <f t="shared" si="8"/>
        <v>1.9346637941429228</v>
      </c>
      <c r="BB19" s="1">
        <f t="shared" si="8"/>
        <v>2.2593613144642664</v>
      </c>
      <c r="BC19" s="1">
        <f t="shared" si="8"/>
        <v>1.8296323241691497</v>
      </c>
      <c r="BD19" s="1">
        <f t="shared" si="8"/>
        <v>2.6148445608929061</v>
      </c>
      <c r="BE19" s="1">
        <f t="shared" si="8"/>
        <v>2.8166947584176674</v>
      </c>
      <c r="BF19" s="1">
        <f t="shared" si="8"/>
        <v>2.0883474371455852</v>
      </c>
      <c r="BG19" s="1">
        <f t="shared" si="8"/>
        <v>2.3317772330546611</v>
      </c>
      <c r="BH19" s="1">
        <f t="shared" si="8"/>
        <v>1.212975164684982</v>
      </c>
      <c r="BI19" s="1">
        <f t="shared" si="8"/>
        <v>1.9593985995029699</v>
      </c>
      <c r="BJ19" s="1">
        <f t="shared" si="8"/>
        <v>2.084899350374235</v>
      </c>
      <c r="BK19" s="1">
        <f t="shared" si="8"/>
        <v>2.5037925643615706</v>
      </c>
      <c r="BL19" s="1">
        <f t="shared" si="8"/>
        <v>1.9302191463090104</v>
      </c>
      <c r="BM19" s="1">
        <f t="shared" si="8"/>
        <v>1.7714267171911997</v>
      </c>
      <c r="BN19" s="1">
        <f t="shared" si="8"/>
        <v>0.89384479611202405</v>
      </c>
      <c r="BO19" s="1">
        <f t="shared" si="8"/>
        <v>10.685770193616879</v>
      </c>
      <c r="BP19" s="1">
        <f t="shared" si="8"/>
        <v>11.449164358064463</v>
      </c>
      <c r="BQ19" s="1">
        <f t="shared" si="8"/>
        <v>2.8780490440007842</v>
      </c>
      <c r="BR19" s="1">
        <f t="shared" si="8"/>
        <v>2.8260263613961825</v>
      </c>
      <c r="BS19" s="1">
        <f t="shared" si="8"/>
        <v>2.388605594913622</v>
      </c>
      <c r="BT19" s="1">
        <f t="shared" si="8"/>
        <v>3.6235156119552863</v>
      </c>
      <c r="BU19" s="1">
        <f t="shared" si="8"/>
        <v>2.402798785609825</v>
      </c>
      <c r="BV19" s="1">
        <f t="shared" si="8"/>
        <v>2.9717682038952047</v>
      </c>
      <c r="BW19" s="1">
        <f t="shared" ref="BW19:CF22" si="9">SQRT(POWER($I19-BW$4,2)+POWER(BW$5-$J19,2))</f>
        <v>3.0012297228239713</v>
      </c>
      <c r="BX19" s="1">
        <f t="shared" si="9"/>
        <v>2.7798598382739144</v>
      </c>
      <c r="BY19" s="1">
        <f t="shared" si="9"/>
        <v>3.3280051651058069</v>
      </c>
      <c r="BZ19" s="1">
        <f t="shared" si="9"/>
        <v>3.5245599098199047</v>
      </c>
      <c r="CA19" s="1">
        <f t="shared" si="9"/>
        <v>4.0287762946063381</v>
      </c>
      <c r="CB19" s="1">
        <f t="shared" si="9"/>
        <v>3.8588892634226104</v>
      </c>
      <c r="CC19" s="1">
        <f t="shared" si="9"/>
        <v>6.4682162651814092</v>
      </c>
      <c r="CD19" s="1">
        <f t="shared" si="9"/>
        <v>8.0795533569913669</v>
      </c>
      <c r="CE19" s="1">
        <f t="shared" si="9"/>
        <v>5.6880697096413178</v>
      </c>
      <c r="CF19" s="1">
        <f t="shared" si="9"/>
        <v>6.0396505788186268</v>
      </c>
      <c r="CH19" s="1" t="s">
        <v>31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  <c r="CR19" s="1">
        <v>0</v>
      </c>
      <c r="CS19" s="1">
        <v>0</v>
      </c>
      <c r="CT19" s="1">
        <v>0</v>
      </c>
      <c r="CU19" s="1">
        <v>0</v>
      </c>
      <c r="CV19" s="1">
        <v>0</v>
      </c>
      <c r="CW19" s="1">
        <v>0</v>
      </c>
      <c r="CX19" s="1">
        <v>0</v>
      </c>
      <c r="CY19" s="1">
        <v>0</v>
      </c>
      <c r="CZ19" s="1">
        <v>0</v>
      </c>
      <c r="DA19" s="1">
        <v>1</v>
      </c>
      <c r="DB19" s="1">
        <v>0</v>
      </c>
      <c r="DC19" s="1">
        <v>0</v>
      </c>
      <c r="DD19" s="1">
        <v>0</v>
      </c>
      <c r="DE19" s="1">
        <v>0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0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  <c r="DU19" s="1">
        <v>0</v>
      </c>
      <c r="DV19" s="1">
        <v>0</v>
      </c>
      <c r="DW19" s="1">
        <v>0</v>
      </c>
      <c r="DX19" s="1">
        <v>0</v>
      </c>
      <c r="DY19" s="1">
        <v>0</v>
      </c>
      <c r="DZ19" s="1">
        <v>0</v>
      </c>
      <c r="EA19" s="1">
        <v>0</v>
      </c>
      <c r="EB19" s="1">
        <v>0</v>
      </c>
      <c r="EC19" s="1">
        <v>0</v>
      </c>
      <c r="ED19" s="1">
        <v>0</v>
      </c>
      <c r="EE19" s="1">
        <v>0</v>
      </c>
      <c r="EF19" s="1">
        <v>0</v>
      </c>
      <c r="EG19" s="1">
        <v>0</v>
      </c>
      <c r="EH19" s="1">
        <v>0</v>
      </c>
      <c r="EI19" s="1">
        <v>0</v>
      </c>
      <c r="EJ19" s="1">
        <v>0</v>
      </c>
      <c r="EK19" s="1">
        <v>0</v>
      </c>
      <c r="EL19" s="1">
        <v>0</v>
      </c>
      <c r="EM19" s="1">
        <v>0</v>
      </c>
      <c r="EN19" s="1">
        <v>0</v>
      </c>
      <c r="EO19" s="1">
        <v>0</v>
      </c>
      <c r="EP19" s="1">
        <v>0</v>
      </c>
      <c r="EQ19" s="1">
        <v>0</v>
      </c>
      <c r="ER19" s="1">
        <v>0</v>
      </c>
      <c r="ES19" s="1">
        <v>0</v>
      </c>
      <c r="ET19" s="1">
        <v>0</v>
      </c>
      <c r="EU19" s="1">
        <v>0</v>
      </c>
      <c r="EV19" s="1">
        <v>0</v>
      </c>
      <c r="EW19" s="1">
        <v>0</v>
      </c>
      <c r="EX19" s="1">
        <v>0</v>
      </c>
      <c r="EY19" s="1">
        <v>0</v>
      </c>
      <c r="EZ19" s="1">
        <v>0</v>
      </c>
      <c r="FA19" s="1">
        <v>0</v>
      </c>
      <c r="FB19" s="1">
        <v>0</v>
      </c>
      <c r="FC19" s="1">
        <v>0</v>
      </c>
      <c r="FD19" s="1">
        <v>0</v>
      </c>
      <c r="FE19" s="1">
        <f t="shared" si="0"/>
        <v>0</v>
      </c>
    </row>
    <row r="20" spans="5:161" ht="15.75" thickBot="1" x14ac:dyDescent="0.3">
      <c r="E20" s="1" t="s">
        <v>33</v>
      </c>
      <c r="F20" s="1">
        <v>4</v>
      </c>
      <c r="H20" s="1" t="s">
        <v>104</v>
      </c>
      <c r="I20" s="2">
        <v>32.245801</v>
      </c>
      <c r="J20" s="2">
        <v>-8.5324390000000001</v>
      </c>
      <c r="K20" s="1">
        <f t="shared" si="3"/>
        <v>6.9331936304410142</v>
      </c>
      <c r="L20" s="1">
        <f t="shared" ref="L20:BW23" si="10">SQRT(POWER($I20-L$4,2)+POWER(L$5-$J20,2))</f>
        <v>6.3523159328901659</v>
      </c>
      <c r="M20" s="1">
        <f t="shared" si="10"/>
        <v>5.821809324744069</v>
      </c>
      <c r="N20" s="1">
        <f t="shared" si="10"/>
        <v>6.6986085439067118</v>
      </c>
      <c r="O20" s="1">
        <f t="shared" si="10"/>
        <v>6.7575641312138766</v>
      </c>
      <c r="P20" s="1">
        <f t="shared" si="10"/>
        <v>5.5455281894027904</v>
      </c>
      <c r="Q20" s="1">
        <f t="shared" si="10"/>
        <v>5.9215735633313811</v>
      </c>
      <c r="R20" s="1">
        <f t="shared" si="10"/>
        <v>0.82433037988741542</v>
      </c>
      <c r="S20" s="1">
        <f t="shared" si="10"/>
        <v>0.73487119643998167</v>
      </c>
      <c r="T20" s="1">
        <f t="shared" si="10"/>
        <v>1.4364596196985588</v>
      </c>
      <c r="U20" s="1">
        <f t="shared" si="10"/>
        <v>1.1418469051856295</v>
      </c>
      <c r="V20" s="1">
        <f t="shared" si="10"/>
        <v>1.4320469746227262</v>
      </c>
      <c r="W20" s="1">
        <f t="shared" si="10"/>
        <v>6.9242095967257207</v>
      </c>
      <c r="X20" s="1">
        <f t="shared" si="10"/>
        <v>0.69838111798132474</v>
      </c>
      <c r="Y20" s="5">
        <v>9999999</v>
      </c>
      <c r="Z20" s="1">
        <f t="shared" si="10"/>
        <v>4.1105774832890445</v>
      </c>
      <c r="AA20" s="1">
        <f t="shared" si="10"/>
        <v>2.0944093935809196</v>
      </c>
      <c r="AB20" s="1">
        <f t="shared" si="10"/>
        <v>3.8173557664802478</v>
      </c>
      <c r="AC20" s="1">
        <f t="shared" si="10"/>
        <v>3.0874762922921368</v>
      </c>
      <c r="AD20" s="1">
        <f t="shared" si="10"/>
        <v>3.3079402232742967</v>
      </c>
      <c r="AE20" s="1">
        <f t="shared" si="10"/>
        <v>3.9451212471226702</v>
      </c>
      <c r="AF20" s="1">
        <f t="shared" si="10"/>
        <v>3.4251689408547796</v>
      </c>
      <c r="AG20" s="1">
        <f t="shared" si="10"/>
        <v>3.3689924291898841</v>
      </c>
      <c r="AH20" s="1">
        <f t="shared" si="10"/>
        <v>3.6570286908058298</v>
      </c>
      <c r="AI20" s="1">
        <f t="shared" si="10"/>
        <v>3.8254899245593377</v>
      </c>
      <c r="AJ20" s="1">
        <f t="shared" si="10"/>
        <v>4.0220530006475537</v>
      </c>
      <c r="AK20" s="1">
        <f t="shared" si="10"/>
        <v>3.9637970192627772</v>
      </c>
      <c r="AL20" s="1">
        <f t="shared" si="10"/>
        <v>4.5209116662073825</v>
      </c>
      <c r="AM20" s="1">
        <f t="shared" si="10"/>
        <v>4.938539728456278</v>
      </c>
      <c r="AN20" s="1">
        <f t="shared" si="10"/>
        <v>3.5985280966396305</v>
      </c>
      <c r="AO20" s="1">
        <f t="shared" si="10"/>
        <v>4.8596800693216879</v>
      </c>
      <c r="AP20" s="1">
        <f t="shared" si="10"/>
        <v>4.5921959431331967</v>
      </c>
      <c r="AQ20" s="1">
        <f t="shared" si="10"/>
        <v>3.3022049772835329</v>
      </c>
      <c r="AR20" s="1">
        <f t="shared" si="10"/>
        <v>4.4632957784714682</v>
      </c>
      <c r="AS20" s="1">
        <f t="shared" si="10"/>
        <v>4.7027568643660329</v>
      </c>
      <c r="AT20" s="1">
        <f t="shared" si="10"/>
        <v>4.5853512319478806</v>
      </c>
      <c r="AU20" s="1">
        <f t="shared" si="10"/>
        <v>4.5429572631644843</v>
      </c>
      <c r="AV20" s="1">
        <f t="shared" si="10"/>
        <v>3.7896294459539024</v>
      </c>
      <c r="AW20" s="1">
        <f t="shared" si="10"/>
        <v>5.4933242347396538</v>
      </c>
      <c r="AX20" s="1">
        <f t="shared" si="10"/>
        <v>4.3762466076046556</v>
      </c>
      <c r="AY20" s="1">
        <f t="shared" si="10"/>
        <v>3.9029698288421342</v>
      </c>
      <c r="AZ20" s="1">
        <f t="shared" si="10"/>
        <v>2.1164234848554964</v>
      </c>
      <c r="BA20" s="1">
        <f t="shared" si="10"/>
        <v>2.1441582016922403</v>
      </c>
      <c r="BB20" s="1">
        <f t="shared" si="10"/>
        <v>2.3767811673823074</v>
      </c>
      <c r="BC20" s="1">
        <f t="shared" si="10"/>
        <v>1.8051186688436076</v>
      </c>
      <c r="BD20" s="1">
        <f t="shared" si="10"/>
        <v>2.8151969751929005</v>
      </c>
      <c r="BE20" s="1">
        <f t="shared" si="10"/>
        <v>2.5619967502458332</v>
      </c>
      <c r="BF20" s="1">
        <f t="shared" si="10"/>
        <v>1.6283491450950942</v>
      </c>
      <c r="BG20" s="1">
        <f t="shared" si="10"/>
        <v>1.8464312026846073</v>
      </c>
      <c r="BH20" s="1">
        <f t="shared" si="10"/>
        <v>0.98841279804937354</v>
      </c>
      <c r="BI20" s="1">
        <f t="shared" si="10"/>
        <v>1.4559265058789908</v>
      </c>
      <c r="BJ20" s="1">
        <f t="shared" si="10"/>
        <v>1.5784030462784222</v>
      </c>
      <c r="BK20" s="1">
        <f t="shared" si="10"/>
        <v>1.9662780495259786</v>
      </c>
      <c r="BL20" s="1">
        <f t="shared" si="10"/>
        <v>1.3961314676394945</v>
      </c>
      <c r="BM20" s="1">
        <f t="shared" si="10"/>
        <v>1.1854219343339327</v>
      </c>
      <c r="BN20" s="1">
        <f t="shared" si="10"/>
        <v>0.41919105466759654</v>
      </c>
      <c r="BO20" s="1">
        <f t="shared" si="10"/>
        <v>11.063947078992165</v>
      </c>
      <c r="BP20" s="1">
        <f t="shared" si="10"/>
        <v>11.766862230118114</v>
      </c>
      <c r="BQ20" s="1">
        <f t="shared" si="10"/>
        <v>2.1808960058838198</v>
      </c>
      <c r="BR20" s="1">
        <f t="shared" si="10"/>
        <v>2.1335086603749165</v>
      </c>
      <c r="BS20" s="1">
        <f t="shared" si="10"/>
        <v>1.6985642212491765</v>
      </c>
      <c r="BT20" s="1">
        <f t="shared" si="10"/>
        <v>2.9447611572320418</v>
      </c>
      <c r="BU20" s="1">
        <f t="shared" si="10"/>
        <v>1.7447081510241194</v>
      </c>
      <c r="BV20" s="1">
        <f t="shared" si="10"/>
        <v>2.4578001356911097</v>
      </c>
      <c r="BW20" s="1">
        <f t="shared" si="10"/>
        <v>2.4879091225018635</v>
      </c>
      <c r="BX20" s="1">
        <f t="shared" si="9"/>
        <v>2.2337240127370102</v>
      </c>
      <c r="BY20" s="1">
        <f t="shared" si="9"/>
        <v>2.8153031503305281</v>
      </c>
      <c r="BZ20" s="1">
        <f t="shared" si="9"/>
        <v>2.9259834571904184</v>
      </c>
      <c r="CA20" s="1">
        <f t="shared" si="9"/>
        <v>3.4468665688340789</v>
      </c>
      <c r="CB20" s="1">
        <f t="shared" si="9"/>
        <v>3.2929470473308555</v>
      </c>
      <c r="CC20" s="1">
        <f t="shared" si="9"/>
        <v>6.9039376658773941</v>
      </c>
      <c r="CD20" s="1">
        <f t="shared" si="9"/>
        <v>8.5360872922932494</v>
      </c>
      <c r="CE20" s="1">
        <f t="shared" si="9"/>
        <v>6.1508877071668042</v>
      </c>
      <c r="CF20" s="1">
        <f t="shared" si="9"/>
        <v>6.3370445540742431</v>
      </c>
      <c r="CH20" s="1" t="s">
        <v>32</v>
      </c>
      <c r="CI20" s="1">
        <v>1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  <c r="CR20" s="1">
        <v>0</v>
      </c>
      <c r="CS20" s="1">
        <v>0</v>
      </c>
      <c r="CT20" s="1">
        <v>0</v>
      </c>
      <c r="CU20" s="1">
        <v>0</v>
      </c>
      <c r="CV20" s="1">
        <v>0</v>
      </c>
      <c r="CW20" s="1">
        <v>0</v>
      </c>
      <c r="CX20" s="1">
        <v>0</v>
      </c>
      <c r="CY20" s="1">
        <v>0</v>
      </c>
      <c r="CZ20" s="1">
        <v>0</v>
      </c>
      <c r="DA20" s="1">
        <v>0</v>
      </c>
      <c r="DB20" s="1">
        <v>0</v>
      </c>
      <c r="DC20" s="1">
        <v>0</v>
      </c>
      <c r="DD20" s="1">
        <v>0</v>
      </c>
      <c r="DE20" s="1">
        <v>0</v>
      </c>
      <c r="DF20" s="1">
        <v>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0</v>
      </c>
      <c r="DM20" s="1">
        <v>0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  <c r="DU20" s="1">
        <v>0</v>
      </c>
      <c r="DV20" s="1">
        <v>0</v>
      </c>
      <c r="DW20" s="1">
        <v>0</v>
      </c>
      <c r="DX20" s="1">
        <v>0</v>
      </c>
      <c r="DY20" s="1">
        <v>0</v>
      </c>
      <c r="DZ20" s="1">
        <v>0</v>
      </c>
      <c r="EA20" s="1">
        <v>0</v>
      </c>
      <c r="EB20" s="1">
        <v>0</v>
      </c>
      <c r="EC20" s="1">
        <v>0</v>
      </c>
      <c r="ED20" s="1">
        <v>0</v>
      </c>
      <c r="EE20" s="1">
        <v>0</v>
      </c>
      <c r="EF20" s="1">
        <v>0</v>
      </c>
      <c r="EG20" s="1">
        <v>0</v>
      </c>
      <c r="EH20" s="1">
        <v>0</v>
      </c>
      <c r="EI20" s="1">
        <v>0</v>
      </c>
      <c r="EJ20" s="1">
        <v>0</v>
      </c>
      <c r="EK20" s="1">
        <v>0</v>
      </c>
      <c r="EL20" s="1">
        <v>0</v>
      </c>
      <c r="EM20" s="1">
        <v>0</v>
      </c>
      <c r="EN20" s="1">
        <v>0</v>
      </c>
      <c r="EO20" s="1">
        <v>0</v>
      </c>
      <c r="EP20" s="1">
        <v>0</v>
      </c>
      <c r="EQ20" s="1">
        <v>0</v>
      </c>
      <c r="ER20" s="1">
        <v>0</v>
      </c>
      <c r="ES20" s="1">
        <v>0</v>
      </c>
      <c r="ET20" s="1">
        <v>0</v>
      </c>
      <c r="EU20" s="1">
        <v>0</v>
      </c>
      <c r="EV20" s="1">
        <v>0</v>
      </c>
      <c r="EW20" s="1">
        <v>0</v>
      </c>
      <c r="EX20" s="1">
        <v>0</v>
      </c>
      <c r="EY20" s="1">
        <v>0</v>
      </c>
      <c r="EZ20" s="1">
        <v>0</v>
      </c>
      <c r="FA20" s="1">
        <v>0</v>
      </c>
      <c r="FB20" s="1">
        <v>0</v>
      </c>
      <c r="FC20" s="1">
        <v>0</v>
      </c>
      <c r="FD20" s="1">
        <v>0</v>
      </c>
      <c r="FE20" s="1">
        <f t="shared" si="0"/>
        <v>0</v>
      </c>
    </row>
    <row r="21" spans="5:161" ht="15.75" thickBot="1" x14ac:dyDescent="0.3">
      <c r="E21" s="1" t="s">
        <v>34</v>
      </c>
      <c r="F21" s="1">
        <v>3</v>
      </c>
      <c r="H21" s="1" t="s">
        <v>105</v>
      </c>
      <c r="I21" s="2">
        <v>31.929089000000001</v>
      </c>
      <c r="J21" s="2">
        <v>-4.4340807</v>
      </c>
      <c r="K21" s="1">
        <f t="shared" si="3"/>
        <v>3.6404731838465012</v>
      </c>
      <c r="L21" s="1">
        <f t="shared" si="10"/>
        <v>3.6138349075939353</v>
      </c>
      <c r="M21" s="1">
        <f t="shared" si="10"/>
        <v>3.2213976212401159</v>
      </c>
      <c r="N21" s="1">
        <f t="shared" si="10"/>
        <v>3.2928414084657756</v>
      </c>
      <c r="O21" s="1">
        <f t="shared" si="10"/>
        <v>3.6626723921975675</v>
      </c>
      <c r="P21" s="1">
        <f t="shared" si="10"/>
        <v>2.5385044151672198</v>
      </c>
      <c r="Q21" s="1">
        <f t="shared" si="10"/>
        <v>1.9653427979097484</v>
      </c>
      <c r="R21" s="1">
        <f t="shared" si="10"/>
        <v>3.5679914723192514</v>
      </c>
      <c r="S21" s="1">
        <f t="shared" si="10"/>
        <v>4.3423170889485663</v>
      </c>
      <c r="T21" s="1">
        <f t="shared" si="10"/>
        <v>5.3500087132176617</v>
      </c>
      <c r="U21" s="1">
        <f t="shared" si="10"/>
        <v>2.9753163745607778</v>
      </c>
      <c r="V21" s="1">
        <f t="shared" si="10"/>
        <v>5.344323432985786</v>
      </c>
      <c r="W21" s="1">
        <f t="shared" si="10"/>
        <v>3.7667888713755153</v>
      </c>
      <c r="X21" s="1">
        <f t="shared" si="10"/>
        <v>4.8082267801142384</v>
      </c>
      <c r="Y21" s="1">
        <f t="shared" si="10"/>
        <v>4.1105774832890445</v>
      </c>
      <c r="Z21" s="5">
        <v>9999999</v>
      </c>
      <c r="AA21" s="1">
        <f t="shared" si="10"/>
        <v>2.6744380564681793</v>
      </c>
      <c r="AB21" s="1">
        <f t="shared" si="10"/>
        <v>0.8111178656087441</v>
      </c>
      <c r="AC21" s="1">
        <f t="shared" si="10"/>
        <v>1.1704098295981167</v>
      </c>
      <c r="AD21" s="1">
        <f t="shared" si="10"/>
        <v>2.1288368899741692</v>
      </c>
      <c r="AE21" s="1">
        <f t="shared" si="10"/>
        <v>2.1845493143138195</v>
      </c>
      <c r="AF21" s="1">
        <f t="shared" si="10"/>
        <v>2.2542468223063863</v>
      </c>
      <c r="AG21" s="1">
        <f t="shared" si="10"/>
        <v>2.0622118435048549</v>
      </c>
      <c r="AH21" s="1">
        <f t="shared" si="10"/>
        <v>1.7345382829967435</v>
      </c>
      <c r="AI21" s="1">
        <f t="shared" si="10"/>
        <v>2.2834519789497412</v>
      </c>
      <c r="AJ21" s="1">
        <f t="shared" si="10"/>
        <v>1.9373942704207308</v>
      </c>
      <c r="AK21" s="1">
        <f t="shared" si="10"/>
        <v>1.4648209775093077</v>
      </c>
      <c r="AL21" s="1">
        <f t="shared" si="10"/>
        <v>2.6171873254480462</v>
      </c>
      <c r="AM21" s="1">
        <f t="shared" si="10"/>
        <v>2.3397993457770907</v>
      </c>
      <c r="AN21" s="1">
        <f t="shared" si="10"/>
        <v>6.3467803146582753</v>
      </c>
      <c r="AO21" s="1">
        <f t="shared" si="10"/>
        <v>6.4569512965003861</v>
      </c>
      <c r="AP21" s="1">
        <f t="shared" si="10"/>
        <v>7.5237951993614818</v>
      </c>
      <c r="AQ21" s="1">
        <f t="shared" si="10"/>
        <v>6.2786161141706973</v>
      </c>
      <c r="AR21" s="1">
        <f t="shared" si="10"/>
        <v>4.084645918418639</v>
      </c>
      <c r="AS21" s="1">
        <f t="shared" si="10"/>
        <v>3.8581227299381986</v>
      </c>
      <c r="AT21" s="1">
        <f t="shared" si="10"/>
        <v>3.7605155856831112</v>
      </c>
      <c r="AU21" s="1">
        <f t="shared" si="10"/>
        <v>4.0188208390084377</v>
      </c>
      <c r="AV21" s="1">
        <f t="shared" si="10"/>
        <v>3.6908100932685444</v>
      </c>
      <c r="AW21" s="1">
        <f t="shared" si="10"/>
        <v>3.3540917800968248</v>
      </c>
      <c r="AX21" s="1">
        <f t="shared" si="10"/>
        <v>3.3487281782162035</v>
      </c>
      <c r="AY21" s="1">
        <f t="shared" si="10"/>
        <v>3.0875879373088759</v>
      </c>
      <c r="AZ21" s="1">
        <f t="shared" si="10"/>
        <v>5.3858142812591359</v>
      </c>
      <c r="BA21" s="1">
        <f t="shared" si="10"/>
        <v>5.3483398255431762</v>
      </c>
      <c r="BB21" s="1">
        <f t="shared" si="10"/>
        <v>5.2625170450786696</v>
      </c>
      <c r="BC21" s="1">
        <f t="shared" si="10"/>
        <v>4.6661981246448354</v>
      </c>
      <c r="BD21" s="1">
        <f t="shared" si="10"/>
        <v>5.7476352034332914</v>
      </c>
      <c r="BE21" s="1">
        <f t="shared" si="10"/>
        <v>4.1550089021329857</v>
      </c>
      <c r="BF21" s="1">
        <f t="shared" si="10"/>
        <v>3.5949832419776939</v>
      </c>
      <c r="BG21" s="1">
        <f t="shared" si="10"/>
        <v>3.4430940715877525</v>
      </c>
      <c r="BH21" s="1">
        <f t="shared" si="10"/>
        <v>4.2704978260988424</v>
      </c>
      <c r="BI21" s="1">
        <f t="shared" si="10"/>
        <v>3.4995362107234862</v>
      </c>
      <c r="BJ21" s="1">
        <f t="shared" si="10"/>
        <v>3.4426248393254375</v>
      </c>
      <c r="BK21" s="1">
        <f t="shared" si="10"/>
        <v>3.1747580340069188</v>
      </c>
      <c r="BL21" s="1">
        <f t="shared" si="10"/>
        <v>3.4199173320501473</v>
      </c>
      <c r="BM21" s="1">
        <f t="shared" si="10"/>
        <v>3.3617293781819639</v>
      </c>
      <c r="BN21" s="1">
        <f t="shared" si="10"/>
        <v>4.0548684567023923</v>
      </c>
      <c r="BO21" s="1">
        <f t="shared" si="10"/>
        <v>13.667838775921497</v>
      </c>
      <c r="BP21" s="1">
        <f t="shared" si="10"/>
        <v>14.049106996682381</v>
      </c>
      <c r="BQ21" s="1">
        <f t="shared" si="10"/>
        <v>1.9615418218545557</v>
      </c>
      <c r="BR21" s="1">
        <f t="shared" si="10"/>
        <v>1.9990339859746975</v>
      </c>
      <c r="BS21" s="1">
        <f t="shared" si="10"/>
        <v>2.4891352143857421</v>
      </c>
      <c r="BT21" s="1">
        <f t="shared" si="10"/>
        <v>1.5937511547835574</v>
      </c>
      <c r="BU21" s="1">
        <f t="shared" si="10"/>
        <v>2.6535148319359911</v>
      </c>
      <c r="BV21" s="1">
        <f t="shared" si="10"/>
        <v>3.1845726059964847</v>
      </c>
      <c r="BW21" s="1">
        <f t="shared" si="10"/>
        <v>3.1844475866400552</v>
      </c>
      <c r="BX21" s="1">
        <f t="shared" si="9"/>
        <v>3.047440038085822</v>
      </c>
      <c r="BY21" s="1">
        <f t="shared" si="9"/>
        <v>3.1650189141232441</v>
      </c>
      <c r="BZ21" s="1">
        <f t="shared" si="9"/>
        <v>2.5098437634431514</v>
      </c>
      <c r="CA21" s="1">
        <f t="shared" si="9"/>
        <v>2.6285593809822712</v>
      </c>
      <c r="CB21" s="1">
        <f t="shared" si="9"/>
        <v>2.7680572392940661</v>
      </c>
      <c r="CC21" s="1">
        <f t="shared" si="9"/>
        <v>9.977833581329115</v>
      </c>
      <c r="CD21" s="1">
        <f t="shared" si="9"/>
        <v>11.604561127911319</v>
      </c>
      <c r="CE21" s="1">
        <f t="shared" si="9"/>
        <v>9.381229608681755</v>
      </c>
      <c r="CF21" s="1">
        <f t="shared" si="9"/>
        <v>8.9042221875935645</v>
      </c>
      <c r="CH21" s="1" t="s">
        <v>33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  <c r="CR21" s="1">
        <v>0</v>
      </c>
      <c r="CS21" s="1">
        <v>0</v>
      </c>
      <c r="CT21" s="1">
        <v>0</v>
      </c>
      <c r="CU21" s="1">
        <v>0</v>
      </c>
      <c r="CV21" s="1">
        <v>0</v>
      </c>
      <c r="CW21" s="1">
        <v>0</v>
      </c>
      <c r="CX21" s="1">
        <v>0</v>
      </c>
      <c r="CY21" s="1">
        <v>0</v>
      </c>
      <c r="CZ21" s="1">
        <v>0</v>
      </c>
      <c r="DA21" s="1">
        <v>0</v>
      </c>
      <c r="DB21" s="1">
        <v>0</v>
      </c>
      <c r="DC21" s="1">
        <v>0</v>
      </c>
      <c r="DD21" s="1">
        <v>0</v>
      </c>
      <c r="DE21" s="1">
        <v>0</v>
      </c>
      <c r="DF21" s="1">
        <v>0</v>
      </c>
      <c r="DG21" s="1">
        <v>0</v>
      </c>
      <c r="DH21" s="1">
        <v>0</v>
      </c>
      <c r="DI21" s="1">
        <v>0</v>
      </c>
      <c r="DJ21" s="1">
        <v>0</v>
      </c>
      <c r="DK21" s="1">
        <v>0</v>
      </c>
      <c r="DL21" s="1">
        <v>0</v>
      </c>
      <c r="DM21" s="1">
        <v>0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  <c r="DU21" s="1">
        <v>0</v>
      </c>
      <c r="DV21" s="1">
        <v>0</v>
      </c>
      <c r="DW21" s="1">
        <v>0</v>
      </c>
      <c r="DX21" s="1">
        <v>0</v>
      </c>
      <c r="DY21" s="1">
        <v>0</v>
      </c>
      <c r="DZ21" s="1">
        <v>0</v>
      </c>
      <c r="EA21" s="1">
        <v>0</v>
      </c>
      <c r="EB21" s="1">
        <v>0</v>
      </c>
      <c r="EC21" s="1">
        <v>0</v>
      </c>
      <c r="ED21" s="1">
        <v>0</v>
      </c>
      <c r="EE21" s="1">
        <v>0</v>
      </c>
      <c r="EF21" s="1">
        <v>0</v>
      </c>
      <c r="EG21" s="1">
        <v>0</v>
      </c>
      <c r="EH21" s="1">
        <v>0</v>
      </c>
      <c r="EI21" s="1">
        <v>0</v>
      </c>
      <c r="EJ21" s="1">
        <v>0</v>
      </c>
      <c r="EK21" s="1">
        <v>0</v>
      </c>
      <c r="EL21" s="1">
        <v>0</v>
      </c>
      <c r="EM21" s="1">
        <v>0</v>
      </c>
      <c r="EN21" s="1">
        <v>0</v>
      </c>
      <c r="EO21" s="1">
        <v>0</v>
      </c>
      <c r="EP21" s="1">
        <v>0</v>
      </c>
      <c r="EQ21" s="1">
        <v>0</v>
      </c>
      <c r="ER21" s="1">
        <v>0</v>
      </c>
      <c r="ES21" s="1">
        <v>1</v>
      </c>
      <c r="ET21" s="1">
        <v>0</v>
      </c>
      <c r="EU21" s="1">
        <v>0</v>
      </c>
      <c r="EV21" s="1">
        <v>0</v>
      </c>
      <c r="EW21" s="1">
        <v>0</v>
      </c>
      <c r="EX21" s="1">
        <v>0</v>
      </c>
      <c r="EY21" s="1">
        <v>0</v>
      </c>
      <c r="EZ21" s="1">
        <v>0</v>
      </c>
      <c r="FA21" s="1">
        <v>0</v>
      </c>
      <c r="FB21" s="1">
        <v>0</v>
      </c>
      <c r="FC21" s="1">
        <v>0</v>
      </c>
      <c r="FD21" s="1">
        <v>0</v>
      </c>
      <c r="FE21" s="1">
        <f t="shared" si="0"/>
        <v>0</v>
      </c>
    </row>
    <row r="22" spans="5:161" ht="15.75" thickBot="1" x14ac:dyDescent="0.3">
      <c r="E22" s="1" t="s">
        <v>35</v>
      </c>
      <c r="F22" s="1">
        <v>9</v>
      </c>
      <c r="H22" s="1" t="s">
        <v>106</v>
      </c>
      <c r="I22" s="2">
        <v>30.920193000000001</v>
      </c>
      <c r="J22" s="2">
        <v>-6.9109230000000004</v>
      </c>
      <c r="K22" s="1">
        <f t="shared" si="3"/>
        <v>6.1490649949551281</v>
      </c>
      <c r="L22" s="1">
        <f t="shared" si="10"/>
        <v>5.8620621815423837</v>
      </c>
      <c r="M22" s="1">
        <f t="shared" si="10"/>
        <v>5.3709420913591117</v>
      </c>
      <c r="N22" s="1">
        <f t="shared" si="10"/>
        <v>5.8365966663270452</v>
      </c>
      <c r="O22" s="1">
        <f t="shared" si="10"/>
        <v>6.0862283315622285</v>
      </c>
      <c r="P22" s="1">
        <f t="shared" si="10"/>
        <v>4.8568543481118489</v>
      </c>
      <c r="Q22" s="1">
        <f t="shared" si="10"/>
        <v>4.6395649065152638</v>
      </c>
      <c r="R22" s="1">
        <f t="shared" si="10"/>
        <v>1.2886094290583654</v>
      </c>
      <c r="S22" s="1">
        <f t="shared" si="10"/>
        <v>1.9519665816054153</v>
      </c>
      <c r="T22" s="1">
        <f t="shared" si="10"/>
        <v>2.917795346193651</v>
      </c>
      <c r="U22" s="1">
        <f t="shared" si="10"/>
        <v>1.2377887805833423</v>
      </c>
      <c r="V22" s="1">
        <f t="shared" si="10"/>
        <v>2.9119043707067886</v>
      </c>
      <c r="W22" s="1">
        <f t="shared" si="10"/>
        <v>6.2220028780068359</v>
      </c>
      <c r="X22" s="1">
        <f t="shared" si="10"/>
        <v>2.681306158273689</v>
      </c>
      <c r="Y22" s="1">
        <f t="shared" si="10"/>
        <v>2.0944093935809196</v>
      </c>
      <c r="Z22" s="1">
        <f t="shared" si="10"/>
        <v>2.6744380564681793</v>
      </c>
      <c r="AA22" s="5">
        <v>9999999</v>
      </c>
      <c r="AB22" s="1">
        <f t="shared" si="10"/>
        <v>2.7949053644787312</v>
      </c>
      <c r="AC22" s="1">
        <f t="shared" si="10"/>
        <v>1.5050251130296788</v>
      </c>
      <c r="AD22" s="1">
        <f t="shared" si="10"/>
        <v>1.2262394446518197</v>
      </c>
      <c r="AE22" s="1">
        <f t="shared" si="10"/>
        <v>3.6455269676484816</v>
      </c>
      <c r="AF22" s="1">
        <f t="shared" si="10"/>
        <v>3.281453260262631</v>
      </c>
      <c r="AG22" s="1">
        <f t="shared" si="10"/>
        <v>3.1195019221819966</v>
      </c>
      <c r="AH22" s="1">
        <f t="shared" si="10"/>
        <v>3.1703728003137108</v>
      </c>
      <c r="AI22" s="1">
        <f t="shared" si="10"/>
        <v>3.6096650287483745</v>
      </c>
      <c r="AJ22" s="1">
        <f t="shared" si="10"/>
        <v>3.5712293232994687</v>
      </c>
      <c r="AK22" s="1">
        <f t="shared" si="10"/>
        <v>3.2755875269016288</v>
      </c>
      <c r="AL22" s="1">
        <f t="shared" si="10"/>
        <v>4.2740231425590123</v>
      </c>
      <c r="AM22" s="1">
        <f t="shared" si="10"/>
        <v>4.4012043024841523</v>
      </c>
      <c r="AN22" s="1">
        <f t="shared" si="10"/>
        <v>3.6932575056157737</v>
      </c>
      <c r="AO22" s="1">
        <f t="shared" si="10"/>
        <v>4.1072589881493533</v>
      </c>
      <c r="AP22" s="1">
        <f t="shared" si="10"/>
        <v>4.8683340120292682</v>
      </c>
      <c r="AQ22" s="1">
        <f t="shared" si="10"/>
        <v>3.606475311136808</v>
      </c>
      <c r="AR22" s="1">
        <f t="shared" si="10"/>
        <v>4.9819446897704127</v>
      </c>
      <c r="AS22" s="1">
        <f t="shared" si="10"/>
        <v>5.0208137950863927</v>
      </c>
      <c r="AT22" s="1">
        <f t="shared" si="10"/>
        <v>4.8973065746045688</v>
      </c>
      <c r="AU22" s="1">
        <f t="shared" si="10"/>
        <v>4.9997827417683789</v>
      </c>
      <c r="AV22" s="1">
        <f t="shared" si="10"/>
        <v>4.3417212711868167</v>
      </c>
      <c r="AW22" s="1">
        <f t="shared" si="10"/>
        <v>5.2525931423831027</v>
      </c>
      <c r="AX22" s="1">
        <f t="shared" si="10"/>
        <v>4.553283192508454</v>
      </c>
      <c r="AY22" s="1">
        <f t="shared" si="10"/>
        <v>4.0991606642087097</v>
      </c>
      <c r="AZ22" s="1">
        <f t="shared" si="10"/>
        <v>2.7393837360772735</v>
      </c>
      <c r="BA22" s="1">
        <f t="shared" si="10"/>
        <v>2.694674374004566</v>
      </c>
      <c r="BB22" s="1">
        <f t="shared" si="10"/>
        <v>2.58854805088558</v>
      </c>
      <c r="BC22" s="1">
        <f t="shared" si="10"/>
        <v>2.0067091715346597</v>
      </c>
      <c r="BD22" s="1">
        <f t="shared" si="10"/>
        <v>3.0735407741370948</v>
      </c>
      <c r="BE22" s="1">
        <f t="shared" si="10"/>
        <v>1.5807012926107864</v>
      </c>
      <c r="BF22" s="1">
        <f t="shared" si="10"/>
        <v>2.7667355165984189</v>
      </c>
      <c r="BG22" s="1">
        <f t="shared" si="10"/>
        <v>2.8165722649366756</v>
      </c>
      <c r="BH22" s="1">
        <f t="shared" si="10"/>
        <v>2.8069215172437247</v>
      </c>
      <c r="BI22" s="1">
        <f t="shared" si="10"/>
        <v>2.5591541622311484</v>
      </c>
      <c r="BJ22" s="1">
        <f t="shared" si="10"/>
        <v>2.608042008605882</v>
      </c>
      <c r="BK22" s="1">
        <f t="shared" si="10"/>
        <v>2.7050071421409001</v>
      </c>
      <c r="BL22" s="1">
        <f t="shared" si="10"/>
        <v>2.4412843755471831</v>
      </c>
      <c r="BM22" s="1">
        <f t="shared" si="10"/>
        <v>2.1995852092501447</v>
      </c>
      <c r="BN22" s="1">
        <f t="shared" si="10"/>
        <v>2.2989045664087344</v>
      </c>
      <c r="BO22" s="1">
        <f t="shared" si="10"/>
        <v>11.138997031597848</v>
      </c>
      <c r="BP22" s="1">
        <f t="shared" si="10"/>
        <v>11.621065601555671</v>
      </c>
      <c r="BQ22" s="1">
        <f t="shared" si="10"/>
        <v>1.519967229167785</v>
      </c>
      <c r="BR22" s="1">
        <f t="shared" si="10"/>
        <v>1.0638105842321863</v>
      </c>
      <c r="BS22" s="1">
        <f t="shared" si="10"/>
        <v>1.5906389293324741</v>
      </c>
      <c r="BT22" s="1">
        <f t="shared" si="10"/>
        <v>2.3671323508668007</v>
      </c>
      <c r="BU22" s="1">
        <f t="shared" si="10"/>
        <v>1.9653157223331832</v>
      </c>
      <c r="BV22" s="1">
        <f t="shared" si="10"/>
        <v>3.1031200152313843</v>
      </c>
      <c r="BW22" s="1">
        <f t="shared" si="10"/>
        <v>3.1261983086893221</v>
      </c>
      <c r="BX22" s="1">
        <f t="shared" si="9"/>
        <v>2.8279146575235328</v>
      </c>
      <c r="BY22" s="1">
        <f t="shared" si="9"/>
        <v>3.3616916584727079</v>
      </c>
      <c r="BZ22" s="1">
        <f t="shared" si="9"/>
        <v>3.0284359260119711</v>
      </c>
      <c r="CA22" s="1">
        <f t="shared" si="9"/>
        <v>3.517080882931471</v>
      </c>
      <c r="CB22" s="1">
        <f t="shared" si="9"/>
        <v>3.4815373857141036</v>
      </c>
      <c r="CC22" s="1">
        <f t="shared" si="9"/>
        <v>7.3263159406768565</v>
      </c>
      <c r="CD22" s="1">
        <f t="shared" si="9"/>
        <v>8.9625497450942788</v>
      </c>
      <c r="CE22" s="1">
        <f t="shared" si="9"/>
        <v>6.7119204016009393</v>
      </c>
      <c r="CF22" s="1">
        <f t="shared" si="9"/>
        <v>6.3342582366981235</v>
      </c>
      <c r="CH22" s="1" t="s">
        <v>34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  <c r="CR22" s="1">
        <v>0</v>
      </c>
      <c r="CS22" s="1">
        <v>0</v>
      </c>
      <c r="CT22" s="1">
        <v>0</v>
      </c>
      <c r="CU22" s="1">
        <v>0</v>
      </c>
      <c r="CV22" s="1">
        <v>0</v>
      </c>
      <c r="CW22" s="1">
        <v>0</v>
      </c>
      <c r="CX22" s="1">
        <v>0</v>
      </c>
      <c r="CY22" s="1">
        <v>0</v>
      </c>
      <c r="CZ22" s="1">
        <v>0</v>
      </c>
      <c r="DA22" s="1">
        <v>0</v>
      </c>
      <c r="DB22" s="1">
        <v>0</v>
      </c>
      <c r="DC22" s="1">
        <v>0</v>
      </c>
      <c r="DD22" s="1">
        <v>0</v>
      </c>
      <c r="DE22" s="1">
        <v>0</v>
      </c>
      <c r="DF22" s="1">
        <v>0</v>
      </c>
      <c r="DG22" s="1">
        <v>0</v>
      </c>
      <c r="DH22" s="1">
        <v>0</v>
      </c>
      <c r="DI22" s="1">
        <v>0</v>
      </c>
      <c r="DJ22" s="1">
        <v>0</v>
      </c>
      <c r="DK22" s="1">
        <v>0</v>
      </c>
      <c r="DL22" s="1">
        <v>0</v>
      </c>
      <c r="DM22" s="1">
        <v>0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  <c r="DU22" s="1">
        <v>0</v>
      </c>
      <c r="DV22" s="1">
        <v>0</v>
      </c>
      <c r="DW22" s="1">
        <v>0</v>
      </c>
      <c r="DX22" s="1">
        <v>0</v>
      </c>
      <c r="DY22" s="1">
        <v>0</v>
      </c>
      <c r="DZ22" s="1">
        <v>0</v>
      </c>
      <c r="EA22" s="1">
        <v>0</v>
      </c>
      <c r="EB22" s="1">
        <v>0</v>
      </c>
      <c r="EC22" s="1">
        <v>0</v>
      </c>
      <c r="ED22" s="1">
        <v>0</v>
      </c>
      <c r="EE22" s="1">
        <v>0</v>
      </c>
      <c r="EF22" s="1">
        <v>0</v>
      </c>
      <c r="EG22" s="1">
        <v>0</v>
      </c>
      <c r="EH22" s="1">
        <v>0</v>
      </c>
      <c r="EI22" s="1">
        <v>0</v>
      </c>
      <c r="EJ22" s="1">
        <v>0</v>
      </c>
      <c r="EK22" s="1">
        <v>0</v>
      </c>
      <c r="EL22" s="1">
        <v>0</v>
      </c>
      <c r="EM22" s="1">
        <v>0</v>
      </c>
      <c r="EN22" s="1">
        <v>0</v>
      </c>
      <c r="EO22" s="1">
        <v>0</v>
      </c>
      <c r="EP22" s="1">
        <v>0</v>
      </c>
      <c r="EQ22" s="1">
        <v>0</v>
      </c>
      <c r="ER22" s="1">
        <v>0</v>
      </c>
      <c r="ES22" s="1">
        <v>0</v>
      </c>
      <c r="ET22" s="1">
        <v>0</v>
      </c>
      <c r="EU22" s="1">
        <v>0</v>
      </c>
      <c r="EV22" s="1">
        <v>0</v>
      </c>
      <c r="EW22" s="1">
        <v>0</v>
      </c>
      <c r="EX22" s="1">
        <v>1</v>
      </c>
      <c r="EY22" s="1">
        <v>0</v>
      </c>
      <c r="EZ22" s="1">
        <v>0</v>
      </c>
      <c r="FA22" s="1">
        <v>0</v>
      </c>
      <c r="FB22" s="1">
        <v>0</v>
      </c>
      <c r="FC22" s="1">
        <v>0</v>
      </c>
      <c r="FD22" s="1">
        <v>0</v>
      </c>
      <c r="FE22" s="1">
        <f t="shared" si="0"/>
        <v>0</v>
      </c>
    </row>
    <row r="23" spans="5:161" ht="15.75" thickBot="1" x14ac:dyDescent="0.3">
      <c r="E23" s="1" t="s">
        <v>36</v>
      </c>
      <c r="F23" s="1">
        <v>14</v>
      </c>
      <c r="H23" s="1" t="s">
        <v>107</v>
      </c>
      <c r="I23" s="2">
        <v>32.680346999999998</v>
      </c>
      <c r="J23" s="2">
        <v>-4.739897</v>
      </c>
      <c r="K23" s="1">
        <f t="shared" si="3"/>
        <v>3.3558608376864654</v>
      </c>
      <c r="L23" s="1">
        <f t="shared" si="10"/>
        <v>3.1182065331176316</v>
      </c>
      <c r="M23" s="1">
        <f t="shared" si="10"/>
        <v>2.663428060848088</v>
      </c>
      <c r="N23" s="1">
        <f t="shared" si="10"/>
        <v>3.0517989384263178</v>
      </c>
      <c r="O23" s="1">
        <f t="shared" si="10"/>
        <v>3.2949120738419042</v>
      </c>
      <c r="P23" s="1">
        <f t="shared" si="10"/>
        <v>2.0767843448815277</v>
      </c>
      <c r="Q23" s="1">
        <f t="shared" si="10"/>
        <v>2.1112856337189139</v>
      </c>
      <c r="R23" s="1">
        <f t="shared" si="10"/>
        <v>3.4160987125878139</v>
      </c>
      <c r="S23" s="1">
        <f t="shared" si="10"/>
        <v>4.1763948941797073</v>
      </c>
      <c r="T23" s="1">
        <f t="shared" si="10"/>
        <v>5.161731408934731</v>
      </c>
      <c r="U23" s="1">
        <f t="shared" si="10"/>
        <v>2.7393531252939987</v>
      </c>
      <c r="V23" s="1">
        <f t="shared" si="10"/>
        <v>5.1563419167295432</v>
      </c>
      <c r="W23" s="1">
        <f t="shared" si="10"/>
        <v>3.4278507346752107</v>
      </c>
      <c r="X23" s="1">
        <f t="shared" si="10"/>
        <v>4.509816987239442</v>
      </c>
      <c r="Y23" s="1">
        <f t="shared" si="10"/>
        <v>3.8173557664802478</v>
      </c>
      <c r="Z23" s="1">
        <f t="shared" si="10"/>
        <v>0.8111178656087441</v>
      </c>
      <c r="AA23" s="1">
        <f t="shared" si="10"/>
        <v>2.7949053644787312</v>
      </c>
      <c r="AB23" s="5">
        <v>9999999</v>
      </c>
      <c r="AC23" s="1">
        <f t="shared" si="10"/>
        <v>1.4033616325017573</v>
      </c>
      <c r="AD23" s="1">
        <f t="shared" si="10"/>
        <v>2.5956332082765448</v>
      </c>
      <c r="AE23" s="1">
        <f t="shared" si="10"/>
        <v>1.3822029820761985</v>
      </c>
      <c r="AF23" s="1">
        <f t="shared" si="10"/>
        <v>1.4525360993125984</v>
      </c>
      <c r="AG23" s="1">
        <f t="shared" si="10"/>
        <v>1.2665307216555592</v>
      </c>
      <c r="AH23" s="1">
        <f t="shared" si="10"/>
        <v>0.92353151201515937</v>
      </c>
      <c r="AI23" s="1">
        <f t="shared" si="10"/>
        <v>1.4741720259471112</v>
      </c>
      <c r="AJ23" s="1">
        <f t="shared" si="10"/>
        <v>1.148358758542817</v>
      </c>
      <c r="AK23" s="1">
        <f t="shared" si="10"/>
        <v>0.6835267408496053</v>
      </c>
      <c r="AL23" s="1">
        <f t="shared" si="10"/>
        <v>1.8610317606236653</v>
      </c>
      <c r="AM23" s="1">
        <f t="shared" si="10"/>
        <v>1.7130390128987192</v>
      </c>
      <c r="AN23" s="1">
        <f t="shared" si="10"/>
        <v>6.4746864962568509</v>
      </c>
      <c r="AO23" s="1">
        <f t="shared" si="10"/>
        <v>6.8052546552595974</v>
      </c>
      <c r="AP23" s="1">
        <f t="shared" si="10"/>
        <v>7.6442932104102974</v>
      </c>
      <c r="AQ23" s="1">
        <f t="shared" si="10"/>
        <v>6.3561830071807499</v>
      </c>
      <c r="AR23" s="1">
        <f t="shared" si="10"/>
        <v>3.2745423325826222</v>
      </c>
      <c r="AS23" s="1">
        <f t="shared" si="10"/>
        <v>3.0591415543234759</v>
      </c>
      <c r="AT23" s="1">
        <f t="shared" si="10"/>
        <v>2.9586389802137685</v>
      </c>
      <c r="AU23" s="1">
        <f t="shared" si="10"/>
        <v>3.2108450971033626</v>
      </c>
      <c r="AV23" s="1">
        <f t="shared" si="10"/>
        <v>2.8846601706822406</v>
      </c>
      <c r="AW23" s="1">
        <f t="shared" si="10"/>
        <v>2.6895467402166515</v>
      </c>
      <c r="AX23" s="1">
        <f t="shared" si="10"/>
        <v>2.546939150364961</v>
      </c>
      <c r="AY23" s="1">
        <f t="shared" si="10"/>
        <v>2.2764961101034209</v>
      </c>
      <c r="AZ23" s="1">
        <f t="shared" si="10"/>
        <v>5.3636328902079677</v>
      </c>
      <c r="BA23" s="1">
        <f t="shared" si="10"/>
        <v>5.3384666181917906</v>
      </c>
      <c r="BB23" s="1">
        <f t="shared" si="10"/>
        <v>5.314298240895674</v>
      </c>
      <c r="BC23" s="1">
        <f t="shared" si="10"/>
        <v>4.6807507980909762</v>
      </c>
      <c r="BD23" s="1">
        <f t="shared" si="10"/>
        <v>5.8141715897941335</v>
      </c>
      <c r="BE23" s="1">
        <f t="shared" si="10"/>
        <v>4.3633824440714104</v>
      </c>
      <c r="BF23" s="1">
        <f t="shared" si="10"/>
        <v>3.0217311125394208</v>
      </c>
      <c r="BG23" s="1">
        <f t="shared" si="10"/>
        <v>2.8373779379512571</v>
      </c>
      <c r="BH23" s="1">
        <f t="shared" si="10"/>
        <v>3.8010213851797983</v>
      </c>
      <c r="BI23" s="1">
        <f t="shared" si="10"/>
        <v>2.9626854143180656</v>
      </c>
      <c r="BJ23" s="1">
        <f t="shared" si="10"/>
        <v>2.885807738929433</v>
      </c>
      <c r="BK23" s="1">
        <f t="shared" si="10"/>
        <v>2.5605524227960985</v>
      </c>
      <c r="BL23" s="1">
        <f t="shared" si="10"/>
        <v>2.9013190846530499</v>
      </c>
      <c r="BM23" s="1">
        <f t="shared" si="10"/>
        <v>2.8979205308979754</v>
      </c>
      <c r="BN23" s="1">
        <f t="shared" si="10"/>
        <v>3.6844303436968007</v>
      </c>
      <c r="BO23" s="1">
        <f t="shared" si="10"/>
        <v>13.927767069962794</v>
      </c>
      <c r="BP23" s="1">
        <f t="shared" si="10"/>
        <v>14.377829369269797</v>
      </c>
      <c r="BQ23" s="1">
        <f t="shared" si="10"/>
        <v>1.6501529539894173</v>
      </c>
      <c r="BR23" s="1">
        <f t="shared" si="10"/>
        <v>1.8762588267772655</v>
      </c>
      <c r="BS23" s="1">
        <f t="shared" si="10"/>
        <v>2.1214878937702459</v>
      </c>
      <c r="BT23" s="1">
        <f t="shared" si="10"/>
        <v>0.9642008158400408</v>
      </c>
      <c r="BU23" s="1">
        <f t="shared" si="10"/>
        <v>2.1790207457025281</v>
      </c>
      <c r="BV23" s="1">
        <f t="shared" si="10"/>
        <v>2.4872392819035412</v>
      </c>
      <c r="BW23" s="1">
        <f t="shared" ref="BW23:CF26" si="11">SQRT(POWER($I23-BW$4,2)+POWER(BW$5-$J23,2))</f>
        <v>2.4827300787971289</v>
      </c>
      <c r="BX23" s="1">
        <f t="shared" si="11"/>
        <v>2.3909073942209416</v>
      </c>
      <c r="BY23" s="1">
        <f t="shared" si="11"/>
        <v>2.4206730691510172</v>
      </c>
      <c r="BZ23" s="1">
        <f t="shared" si="11"/>
        <v>1.7602478850616474</v>
      </c>
      <c r="CA23" s="1">
        <f t="shared" si="11"/>
        <v>1.8259794978569768</v>
      </c>
      <c r="CB23" s="1">
        <f t="shared" si="11"/>
        <v>1.9760395873304284</v>
      </c>
      <c r="CC23" s="1">
        <f t="shared" si="11"/>
        <v>10.101002417252902</v>
      </c>
      <c r="CD23" s="1">
        <f t="shared" si="11"/>
        <v>11.74290556985278</v>
      </c>
      <c r="CE23" s="1">
        <f t="shared" si="11"/>
        <v>9.4586231184375062</v>
      </c>
      <c r="CF23" s="1">
        <f t="shared" si="11"/>
        <v>9.1276530428702198</v>
      </c>
      <c r="CH23" s="1" t="s">
        <v>35</v>
      </c>
      <c r="CI23" s="1">
        <v>1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  <c r="CR23" s="1">
        <v>0</v>
      </c>
      <c r="CS23" s="1">
        <v>0</v>
      </c>
      <c r="CT23" s="1">
        <v>0</v>
      </c>
      <c r="CU23" s="1">
        <v>0</v>
      </c>
      <c r="CV23" s="1">
        <v>0</v>
      </c>
      <c r="CW23" s="1">
        <v>0</v>
      </c>
      <c r="CX23" s="1">
        <v>0</v>
      </c>
      <c r="CY23" s="1">
        <v>0</v>
      </c>
      <c r="CZ23" s="1">
        <v>0</v>
      </c>
      <c r="DA23" s="1">
        <v>0</v>
      </c>
      <c r="DB23" s="1">
        <v>0</v>
      </c>
      <c r="DC23" s="1">
        <v>0</v>
      </c>
      <c r="DD23" s="1">
        <v>0</v>
      </c>
      <c r="DE23" s="1">
        <v>0</v>
      </c>
      <c r="DF23" s="1">
        <v>0</v>
      </c>
      <c r="DG23" s="1">
        <v>0</v>
      </c>
      <c r="DH23" s="1">
        <v>0</v>
      </c>
      <c r="DI23" s="1">
        <v>0</v>
      </c>
      <c r="DJ23" s="1">
        <v>0</v>
      </c>
      <c r="DK23" s="1">
        <v>0</v>
      </c>
      <c r="DL23" s="1">
        <v>0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  <c r="DU23" s="1">
        <v>0</v>
      </c>
      <c r="DV23" s="1">
        <v>0</v>
      </c>
      <c r="DW23" s="1">
        <v>0</v>
      </c>
      <c r="DX23" s="1">
        <v>0</v>
      </c>
      <c r="DY23" s="1">
        <v>0</v>
      </c>
      <c r="DZ23" s="1">
        <v>0</v>
      </c>
      <c r="EA23" s="1">
        <v>0</v>
      </c>
      <c r="EB23" s="1">
        <v>0</v>
      </c>
      <c r="EC23" s="1">
        <v>0</v>
      </c>
      <c r="ED23" s="1">
        <v>0</v>
      </c>
      <c r="EE23" s="1">
        <v>0</v>
      </c>
      <c r="EF23" s="1">
        <v>0</v>
      </c>
      <c r="EG23" s="1">
        <v>0</v>
      </c>
      <c r="EH23" s="1">
        <v>0</v>
      </c>
      <c r="EI23" s="1">
        <v>0</v>
      </c>
      <c r="EJ23" s="1">
        <v>0</v>
      </c>
      <c r="EK23" s="1">
        <v>0</v>
      </c>
      <c r="EL23" s="1">
        <v>0</v>
      </c>
      <c r="EM23" s="1">
        <v>0</v>
      </c>
      <c r="EN23" s="1">
        <v>0</v>
      </c>
      <c r="EO23" s="1">
        <v>0</v>
      </c>
      <c r="EP23" s="1">
        <v>0</v>
      </c>
      <c r="EQ23" s="1">
        <v>0</v>
      </c>
      <c r="ER23" s="1">
        <v>0</v>
      </c>
      <c r="ES23" s="1">
        <v>0</v>
      </c>
      <c r="ET23" s="1">
        <v>0</v>
      </c>
      <c r="EU23" s="1">
        <v>0</v>
      </c>
      <c r="EV23" s="1">
        <v>0</v>
      </c>
      <c r="EW23" s="1">
        <v>0</v>
      </c>
      <c r="EX23" s="1">
        <v>0</v>
      </c>
      <c r="EY23" s="1">
        <v>0</v>
      </c>
      <c r="EZ23" s="1">
        <v>0</v>
      </c>
      <c r="FA23" s="1">
        <v>0</v>
      </c>
      <c r="FB23" s="1">
        <v>0</v>
      </c>
      <c r="FC23" s="1">
        <v>0</v>
      </c>
      <c r="FD23" s="1">
        <v>0</v>
      </c>
      <c r="FE23" s="1">
        <f t="shared" si="0"/>
        <v>0</v>
      </c>
    </row>
    <row r="24" spans="5:161" ht="15.75" thickBot="1" x14ac:dyDescent="0.3">
      <c r="E24" s="1" t="s">
        <v>37</v>
      </c>
      <c r="F24" s="1">
        <v>3</v>
      </c>
      <c r="H24" s="1" t="s">
        <v>108</v>
      </c>
      <c r="I24" s="2">
        <v>31.521329999999999</v>
      </c>
      <c r="J24" s="2">
        <v>-5.5311640000000004</v>
      </c>
      <c r="K24" s="1">
        <f t="shared" si="3"/>
        <v>4.7029835158570537</v>
      </c>
      <c r="L24" s="1">
        <f t="shared" ref="L24:BW27" si="12">SQRT(POWER($I24-L$4,2)+POWER(L$5-$J24,2))</f>
        <v>4.5212122321284447</v>
      </c>
      <c r="M24" s="1">
        <f t="shared" si="12"/>
        <v>4.0646673932046404</v>
      </c>
      <c r="N24" s="1">
        <f t="shared" si="12"/>
        <v>4.3754463226768072</v>
      </c>
      <c r="O24" s="1">
        <f t="shared" si="12"/>
        <v>4.6741432343744407</v>
      </c>
      <c r="P24" s="1">
        <f t="shared" si="12"/>
        <v>3.4727796738746597</v>
      </c>
      <c r="Q24" s="1">
        <f t="shared" si="12"/>
        <v>3.1348179237225708</v>
      </c>
      <c r="R24" s="1">
        <f t="shared" si="12"/>
        <v>2.4602169863913885</v>
      </c>
      <c r="S24" s="1">
        <f t="shared" si="12"/>
        <v>3.2284834865536687</v>
      </c>
      <c r="T24" s="1">
        <f t="shared" si="12"/>
        <v>4.2367231337426254</v>
      </c>
      <c r="U24" s="1">
        <f t="shared" si="12"/>
        <v>1.9498588039178633</v>
      </c>
      <c r="V24" s="1">
        <f t="shared" si="12"/>
        <v>4.2309369697663071</v>
      </c>
      <c r="W24" s="1">
        <f t="shared" si="12"/>
        <v>4.7978274829992555</v>
      </c>
      <c r="X24" s="1">
        <f t="shared" si="12"/>
        <v>3.7734131903745918</v>
      </c>
      <c r="Y24" s="1">
        <f t="shared" si="12"/>
        <v>3.0874762922921368</v>
      </c>
      <c r="Z24" s="1">
        <f t="shared" si="12"/>
        <v>1.1704098295981167</v>
      </c>
      <c r="AA24" s="1">
        <f t="shared" si="12"/>
        <v>1.5050251130296788</v>
      </c>
      <c r="AB24" s="1">
        <f t="shared" si="12"/>
        <v>1.4033616325017573</v>
      </c>
      <c r="AC24" s="5">
        <v>9999999</v>
      </c>
      <c r="AD24" s="1">
        <f t="shared" si="12"/>
        <v>1.2318983958305967</v>
      </c>
      <c r="AE24" s="1">
        <f t="shared" si="12"/>
        <v>2.5655389406137541</v>
      </c>
      <c r="AF24" s="1">
        <f t="shared" si="12"/>
        <v>2.3765471594267304</v>
      </c>
      <c r="AG24" s="1">
        <f t="shared" si="12"/>
        <v>2.1777584474917271</v>
      </c>
      <c r="AH24" s="1">
        <f t="shared" si="12"/>
        <v>2.0505385934336884</v>
      </c>
      <c r="AI24" s="1">
        <f t="shared" si="12"/>
        <v>2.5901307929301587</v>
      </c>
      <c r="AJ24" s="1">
        <f t="shared" si="12"/>
        <v>2.4069460833612357</v>
      </c>
      <c r="AK24" s="1">
        <f t="shared" si="12"/>
        <v>2.0092847270173824</v>
      </c>
      <c r="AL24" s="1">
        <f t="shared" si="12"/>
        <v>3.1471414512563656</v>
      </c>
      <c r="AM24" s="1">
        <f t="shared" si="12"/>
        <v>3.1066632267152849</v>
      </c>
      <c r="AN24" s="1">
        <f t="shared" si="12"/>
        <v>5.1877813378883104</v>
      </c>
      <c r="AO24" s="1">
        <f t="shared" si="12"/>
        <v>5.4085428965869013</v>
      </c>
      <c r="AP24" s="1">
        <f t="shared" si="12"/>
        <v>6.3644903044728549</v>
      </c>
      <c r="AQ24" s="1">
        <f t="shared" si="12"/>
        <v>5.1110024175363806</v>
      </c>
      <c r="AR24" s="1">
        <f t="shared" si="12"/>
        <v>4.2647910274845158</v>
      </c>
      <c r="AS24" s="1">
        <f t="shared" si="12"/>
        <v>4.1672214226271258</v>
      </c>
      <c r="AT24" s="1">
        <f t="shared" si="12"/>
        <v>4.0518834110238116</v>
      </c>
      <c r="AU24" s="1">
        <f t="shared" si="12"/>
        <v>4.2392941916818021</v>
      </c>
      <c r="AV24" s="1">
        <f t="shared" si="12"/>
        <v>3.7261418207132539</v>
      </c>
      <c r="AW24" s="1">
        <f t="shared" si="12"/>
        <v>4.0533563666596129</v>
      </c>
      <c r="AX24" s="1">
        <f t="shared" si="12"/>
        <v>3.6576184966881966</v>
      </c>
      <c r="AY24" s="1">
        <f t="shared" si="12"/>
        <v>3.2757689275298407</v>
      </c>
      <c r="AZ24" s="1">
        <f t="shared" si="12"/>
        <v>4.2192810030215187</v>
      </c>
      <c r="BA24" s="1">
        <f t="shared" si="12"/>
        <v>4.1803941462444536</v>
      </c>
      <c r="BB24" s="1">
        <f t="shared" si="12"/>
        <v>4.0923462623829341</v>
      </c>
      <c r="BC24" s="1">
        <f t="shared" si="12"/>
        <v>3.4969316595187441</v>
      </c>
      <c r="BD24" s="1">
        <f t="shared" si="12"/>
        <v>4.5785635494379937</v>
      </c>
      <c r="BE24" s="1">
        <f t="shared" si="12"/>
        <v>3.0160238563401989</v>
      </c>
      <c r="BF24" s="1">
        <f t="shared" si="12"/>
        <v>2.943033815298548</v>
      </c>
      <c r="BG24" s="1">
        <f t="shared" si="12"/>
        <v>2.8602909392682285</v>
      </c>
      <c r="BH24" s="1">
        <f t="shared" si="12"/>
        <v>3.4276382949477102</v>
      </c>
      <c r="BI24" s="1">
        <f t="shared" si="12"/>
        <v>2.7948820620421562</v>
      </c>
      <c r="BJ24" s="1">
        <f t="shared" si="12"/>
        <v>2.7743757367049278</v>
      </c>
      <c r="BK24" s="1">
        <f t="shared" si="12"/>
        <v>2.6316056434078314</v>
      </c>
      <c r="BL24" s="1">
        <f t="shared" si="12"/>
        <v>2.6929811941889623</v>
      </c>
      <c r="BM24" s="1">
        <f t="shared" si="12"/>
        <v>2.5605155107317761</v>
      </c>
      <c r="BN24" s="1">
        <f t="shared" si="12"/>
        <v>3.1056984933471457</v>
      </c>
      <c r="BO24" s="1">
        <f t="shared" si="12"/>
        <v>12.565881103752464</v>
      </c>
      <c r="BP24" s="1">
        <f t="shared" si="12"/>
        <v>12.990104412502237</v>
      </c>
      <c r="BQ24" s="1">
        <f t="shared" si="12"/>
        <v>1.1561623631696372</v>
      </c>
      <c r="BR24" s="1">
        <f t="shared" si="12"/>
        <v>0.96627154724918407</v>
      </c>
      <c r="BS24" s="1">
        <f t="shared" si="12"/>
        <v>1.651789854372482</v>
      </c>
      <c r="BT24" s="1">
        <f t="shared" si="12"/>
        <v>1.4212051535834636</v>
      </c>
      <c r="BU24" s="1">
        <f t="shared" si="12"/>
        <v>1.9390898806295715</v>
      </c>
      <c r="BV24" s="1">
        <f t="shared" si="12"/>
        <v>2.8200337852953532</v>
      </c>
      <c r="BW24" s="1">
        <f t="shared" si="12"/>
        <v>2.8309118400420017</v>
      </c>
      <c r="BX24" s="1">
        <f t="shared" si="11"/>
        <v>2.602883693660877</v>
      </c>
      <c r="BY24" s="1">
        <f t="shared" si="11"/>
        <v>2.9334104874062548</v>
      </c>
      <c r="BZ24" s="1">
        <f t="shared" si="11"/>
        <v>2.3715903491813246</v>
      </c>
      <c r="CA24" s="1">
        <f t="shared" si="11"/>
        <v>2.7110820532813138</v>
      </c>
      <c r="CB24" s="1">
        <f t="shared" si="11"/>
        <v>2.7670438457359161</v>
      </c>
      <c r="CC24" s="1">
        <f t="shared" si="11"/>
        <v>8.8209688704786604</v>
      </c>
      <c r="CD24" s="1">
        <f t="shared" si="11"/>
        <v>10.452416594580741</v>
      </c>
      <c r="CE24" s="1">
        <f t="shared" si="11"/>
        <v>8.2154595364736895</v>
      </c>
      <c r="CF24" s="1">
        <f t="shared" si="11"/>
        <v>7.7811582687795271</v>
      </c>
      <c r="CH24" s="1" t="s">
        <v>36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  <c r="CR24" s="1">
        <v>0</v>
      </c>
      <c r="CS24" s="1">
        <v>0</v>
      </c>
      <c r="CT24" s="1">
        <v>0</v>
      </c>
      <c r="CU24" s="1">
        <v>0</v>
      </c>
      <c r="CV24" s="1">
        <v>0</v>
      </c>
      <c r="CW24" s="1">
        <v>0</v>
      </c>
      <c r="CX24" s="1">
        <v>0</v>
      </c>
      <c r="CY24" s="1">
        <v>0</v>
      </c>
      <c r="CZ24" s="1">
        <v>0</v>
      </c>
      <c r="DA24" s="1">
        <v>0</v>
      </c>
      <c r="DB24" s="1">
        <v>0</v>
      </c>
      <c r="DC24" s="1">
        <v>0</v>
      </c>
      <c r="DD24" s="1">
        <v>0</v>
      </c>
      <c r="DE24" s="1">
        <v>0</v>
      </c>
      <c r="DF24" s="1">
        <v>1</v>
      </c>
      <c r="DG24" s="1">
        <v>0</v>
      </c>
      <c r="DH24" s="1">
        <v>0</v>
      </c>
      <c r="DI24" s="1">
        <v>0</v>
      </c>
      <c r="DJ24" s="1">
        <v>0</v>
      </c>
      <c r="DK24" s="1">
        <v>0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  <c r="DU24" s="1">
        <v>0</v>
      </c>
      <c r="DV24" s="1">
        <v>0</v>
      </c>
      <c r="DW24" s="1">
        <v>0</v>
      </c>
      <c r="DX24" s="1">
        <v>0</v>
      </c>
      <c r="DY24" s="1">
        <v>0</v>
      </c>
      <c r="DZ24" s="1">
        <v>0</v>
      </c>
      <c r="EA24" s="1">
        <v>0</v>
      </c>
      <c r="EB24" s="1">
        <v>0</v>
      </c>
      <c r="EC24" s="1">
        <v>0</v>
      </c>
      <c r="ED24" s="1">
        <v>0</v>
      </c>
      <c r="EE24" s="1">
        <v>0</v>
      </c>
      <c r="EF24" s="1">
        <v>0</v>
      </c>
      <c r="EG24" s="1">
        <v>0</v>
      </c>
      <c r="EH24" s="1">
        <v>0</v>
      </c>
      <c r="EI24" s="1">
        <v>0</v>
      </c>
      <c r="EJ24" s="1">
        <v>0</v>
      </c>
      <c r="EK24" s="1">
        <v>0</v>
      </c>
      <c r="EL24" s="1">
        <v>0</v>
      </c>
      <c r="EM24" s="1">
        <v>0</v>
      </c>
      <c r="EN24" s="1">
        <v>0</v>
      </c>
      <c r="EO24" s="1">
        <v>0</v>
      </c>
      <c r="EP24" s="1">
        <v>0</v>
      </c>
      <c r="EQ24" s="1">
        <v>0</v>
      </c>
      <c r="ER24" s="1">
        <v>0</v>
      </c>
      <c r="ES24" s="1">
        <v>0</v>
      </c>
      <c r="ET24" s="1">
        <v>0</v>
      </c>
      <c r="EU24" s="1">
        <v>0</v>
      </c>
      <c r="EV24" s="1">
        <v>0</v>
      </c>
      <c r="EW24" s="1">
        <v>0</v>
      </c>
      <c r="EX24" s="1">
        <v>0</v>
      </c>
      <c r="EY24" s="1">
        <v>0</v>
      </c>
      <c r="EZ24" s="1">
        <v>0</v>
      </c>
      <c r="FA24" s="1">
        <v>0</v>
      </c>
      <c r="FB24" s="1">
        <v>0</v>
      </c>
      <c r="FC24" s="1">
        <v>0</v>
      </c>
      <c r="FD24" s="1">
        <v>0</v>
      </c>
      <c r="FE24" s="1">
        <f t="shared" si="0"/>
        <v>0</v>
      </c>
    </row>
    <row r="25" spans="5:161" ht="15.75" thickBot="1" x14ac:dyDescent="0.3">
      <c r="E25" s="1" t="s">
        <v>38</v>
      </c>
      <c r="F25" s="1">
        <v>5</v>
      </c>
      <c r="H25" s="1" t="s">
        <v>109</v>
      </c>
      <c r="I25" s="2">
        <v>30.328035</v>
      </c>
      <c r="J25" s="2">
        <v>-5.8371389999999996</v>
      </c>
      <c r="K25" s="1">
        <f t="shared" si="3"/>
        <v>5.7693098721441309</v>
      </c>
      <c r="L25" s="1">
        <f t="shared" si="12"/>
        <v>5.6883735165581246</v>
      </c>
      <c r="M25" s="1">
        <f t="shared" si="12"/>
        <v>5.2531789656341417</v>
      </c>
      <c r="N25" s="1">
        <f t="shared" si="12"/>
        <v>5.4204962923717579</v>
      </c>
      <c r="O25" s="1">
        <f t="shared" si="12"/>
        <v>5.7837415490129187</v>
      </c>
      <c r="P25" s="1">
        <f t="shared" si="12"/>
        <v>4.6222318277123415</v>
      </c>
      <c r="Q25" s="1">
        <f t="shared" si="12"/>
        <v>3.9934727210718335</v>
      </c>
      <c r="R25" s="1">
        <f t="shared" si="12"/>
        <v>2.5130576055239424</v>
      </c>
      <c r="S25" s="1">
        <f t="shared" si="12"/>
        <v>3.1664023394629965</v>
      </c>
      <c r="T25" s="1">
        <f t="shared" si="12"/>
        <v>4.1054456172299902</v>
      </c>
      <c r="U25" s="1">
        <f t="shared" si="12"/>
        <v>2.333196200636801</v>
      </c>
      <c r="V25" s="1">
        <f t="shared" si="12"/>
        <v>4.0995864195037166</v>
      </c>
      <c r="W25" s="1">
        <f t="shared" si="12"/>
        <v>5.8925944201532285</v>
      </c>
      <c r="X25" s="1">
        <f t="shared" si="12"/>
        <v>3.9073519955616769</v>
      </c>
      <c r="Y25" s="1">
        <f t="shared" si="12"/>
        <v>3.3079402232742967</v>
      </c>
      <c r="Z25" s="1">
        <f t="shared" si="12"/>
        <v>2.1288368899741692</v>
      </c>
      <c r="AA25" s="1">
        <f t="shared" si="12"/>
        <v>1.2262394446518197</v>
      </c>
      <c r="AB25" s="1">
        <f t="shared" si="12"/>
        <v>2.5956332082765448</v>
      </c>
      <c r="AC25" s="1">
        <f t="shared" si="12"/>
        <v>1.2318983958305967</v>
      </c>
      <c r="AD25" s="5">
        <v>9999999</v>
      </c>
      <c r="AE25" s="1">
        <f t="shared" si="12"/>
        <v>3.7964421442834535</v>
      </c>
      <c r="AF25" s="1">
        <f t="shared" si="12"/>
        <v>3.582856494598166</v>
      </c>
      <c r="AG25" s="1">
        <f t="shared" si="12"/>
        <v>3.3882530255076531</v>
      </c>
      <c r="AH25" s="1">
        <f t="shared" si="12"/>
        <v>3.2817305674386201</v>
      </c>
      <c r="AI25" s="1">
        <f t="shared" si="12"/>
        <v>3.8165312828673383</v>
      </c>
      <c r="AJ25" s="1">
        <f t="shared" si="12"/>
        <v>3.6380862144234545</v>
      </c>
      <c r="AK25" s="1">
        <f t="shared" si="12"/>
        <v>3.2314921631869766</v>
      </c>
      <c r="AL25" s="1">
        <f t="shared" si="12"/>
        <v>4.378420117520248</v>
      </c>
      <c r="AM25" s="1">
        <f t="shared" si="12"/>
        <v>4.3086653833437829</v>
      </c>
      <c r="AN25" s="1">
        <f t="shared" si="12"/>
        <v>4.4284222198786836</v>
      </c>
      <c r="AO25" s="1">
        <f t="shared" si="12"/>
        <v>4.3374633669369071</v>
      </c>
      <c r="AP25" s="1">
        <f t="shared" si="12"/>
        <v>5.5908467621594671</v>
      </c>
      <c r="AQ25" s="1">
        <f t="shared" si="12"/>
        <v>4.4370781787455282</v>
      </c>
      <c r="AR25" s="1">
        <f t="shared" si="12"/>
        <v>5.4495045931099488</v>
      </c>
      <c r="AS25" s="1">
        <f t="shared" si="12"/>
        <v>5.3799275516162322</v>
      </c>
      <c r="AT25" s="1">
        <f t="shared" si="12"/>
        <v>5.262534793729154</v>
      </c>
      <c r="AU25" s="1">
        <f t="shared" si="12"/>
        <v>5.4340178722231816</v>
      </c>
      <c r="AV25" s="1">
        <f t="shared" si="12"/>
        <v>4.8774303347112271</v>
      </c>
      <c r="AW25" s="1">
        <f t="shared" si="12"/>
        <v>5.2739108483600674</v>
      </c>
      <c r="AX25" s="1">
        <f t="shared" si="12"/>
        <v>4.8743788721681618</v>
      </c>
      <c r="AY25" s="1">
        <f t="shared" si="12"/>
        <v>4.4762008519055527</v>
      </c>
      <c r="AZ25" s="1">
        <f t="shared" si="12"/>
        <v>3.7684364158529045</v>
      </c>
      <c r="BA25" s="1">
        <f t="shared" si="12"/>
        <v>3.7089033491385166</v>
      </c>
      <c r="BB25" s="1">
        <f t="shared" si="12"/>
        <v>3.5109134614685815</v>
      </c>
      <c r="BC25" s="1">
        <f t="shared" si="12"/>
        <v>3.033204343310969</v>
      </c>
      <c r="BD25" s="1">
        <f t="shared" si="12"/>
        <v>3.9446804708654479</v>
      </c>
      <c r="BE25" s="1">
        <f t="shared" si="12"/>
        <v>2.2103665413451701</v>
      </c>
      <c r="BF25" s="1">
        <f t="shared" si="12"/>
        <v>3.7213683348006188</v>
      </c>
      <c r="BG25" s="1">
        <f t="shared" si="12"/>
        <v>3.7082871361946772</v>
      </c>
      <c r="BH25" s="1">
        <f t="shared" si="12"/>
        <v>3.9415672586290071</v>
      </c>
      <c r="BI25" s="1">
        <f t="shared" si="12"/>
        <v>3.5335459803892495</v>
      </c>
      <c r="BJ25" s="1">
        <f t="shared" si="12"/>
        <v>3.5518828805658855</v>
      </c>
      <c r="BK25" s="1">
        <f t="shared" si="12"/>
        <v>3.5312848625326354</v>
      </c>
      <c r="BL25" s="1">
        <f t="shared" si="12"/>
        <v>3.4180466845765007</v>
      </c>
      <c r="BM25" s="1">
        <f t="shared" si="12"/>
        <v>3.2140832641716073</v>
      </c>
      <c r="BN25" s="1">
        <f t="shared" si="12"/>
        <v>3.4767902225028964</v>
      </c>
      <c r="BO25" s="1">
        <f t="shared" si="12"/>
        <v>11.573774942170047</v>
      </c>
      <c r="BP25" s="1">
        <f t="shared" si="12"/>
        <v>11.927058659926121</v>
      </c>
      <c r="BQ25" s="1">
        <f t="shared" si="12"/>
        <v>2.0715038574378752</v>
      </c>
      <c r="BR25" s="1">
        <f t="shared" si="12"/>
        <v>1.6530300260639927</v>
      </c>
      <c r="BS25" s="1">
        <f t="shared" si="12"/>
        <v>2.4073435796902141</v>
      </c>
      <c r="BT25" s="1">
        <f t="shared" si="12"/>
        <v>2.6131099573504724</v>
      </c>
      <c r="BU25" s="1">
        <f t="shared" si="12"/>
        <v>2.7730965384439847</v>
      </c>
      <c r="BV25" s="1">
        <f t="shared" si="12"/>
        <v>3.826462246000506</v>
      </c>
      <c r="BW25" s="1">
        <f t="shared" si="12"/>
        <v>3.8430839548726992</v>
      </c>
      <c r="BX25" s="1">
        <f t="shared" si="11"/>
        <v>3.5751384885144968</v>
      </c>
      <c r="BY25" s="1">
        <f t="shared" si="11"/>
        <v>4.0042028903547076</v>
      </c>
      <c r="BZ25" s="1">
        <f t="shared" si="11"/>
        <v>3.5101585873945913</v>
      </c>
      <c r="CA25" s="1">
        <f t="shared" si="11"/>
        <v>3.9004031818715905</v>
      </c>
      <c r="CB25" s="1">
        <f t="shared" si="11"/>
        <v>3.9328755268435591</v>
      </c>
      <c r="CC25" s="1">
        <f t="shared" si="11"/>
        <v>8.0134347763732752</v>
      </c>
      <c r="CD25" s="1">
        <f t="shared" si="11"/>
        <v>9.6133488347091589</v>
      </c>
      <c r="CE25" s="1">
        <f t="shared" si="11"/>
        <v>7.479292488764731</v>
      </c>
      <c r="CF25" s="1">
        <f t="shared" si="11"/>
        <v>6.8480845939975081</v>
      </c>
      <c r="CH25" s="1" t="s">
        <v>37</v>
      </c>
      <c r="CI25" s="1">
        <v>1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  <c r="CR25" s="1">
        <v>0</v>
      </c>
      <c r="CS25" s="1">
        <v>0</v>
      </c>
      <c r="CT25" s="1">
        <v>0</v>
      </c>
      <c r="CU25" s="1">
        <v>0</v>
      </c>
      <c r="CV25" s="1">
        <v>0</v>
      </c>
      <c r="CW25" s="1">
        <v>0</v>
      </c>
      <c r="CX25" s="1">
        <v>0</v>
      </c>
      <c r="CY25" s="1">
        <v>0</v>
      </c>
      <c r="CZ25" s="1">
        <v>0</v>
      </c>
      <c r="DA25" s="1">
        <v>0</v>
      </c>
      <c r="DB25" s="1">
        <v>0</v>
      </c>
      <c r="DC25" s="1">
        <v>0</v>
      </c>
      <c r="DD25" s="1">
        <v>0</v>
      </c>
      <c r="DE25" s="1">
        <v>0</v>
      </c>
      <c r="DF25" s="1">
        <v>0</v>
      </c>
      <c r="DG25" s="1">
        <v>0</v>
      </c>
      <c r="DH25" s="1">
        <v>0</v>
      </c>
      <c r="DI25" s="1">
        <v>0</v>
      </c>
      <c r="DJ25" s="1">
        <v>0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  <c r="DU25" s="1">
        <v>0</v>
      </c>
      <c r="DV25" s="1">
        <v>0</v>
      </c>
      <c r="DW25" s="1">
        <v>0</v>
      </c>
      <c r="DX25" s="1">
        <v>0</v>
      </c>
      <c r="DY25" s="1">
        <v>0</v>
      </c>
      <c r="DZ25" s="1">
        <v>0</v>
      </c>
      <c r="EA25" s="1">
        <v>0</v>
      </c>
      <c r="EB25" s="1">
        <v>0</v>
      </c>
      <c r="EC25" s="1">
        <v>0</v>
      </c>
      <c r="ED25" s="1">
        <v>0</v>
      </c>
      <c r="EE25" s="1">
        <v>0</v>
      </c>
      <c r="EF25" s="1">
        <v>0</v>
      </c>
      <c r="EG25" s="1">
        <v>0</v>
      </c>
      <c r="EH25" s="1">
        <v>0</v>
      </c>
      <c r="EI25" s="1">
        <v>0</v>
      </c>
      <c r="EJ25" s="1">
        <v>0</v>
      </c>
      <c r="EK25" s="1">
        <v>0</v>
      </c>
      <c r="EL25" s="1">
        <v>0</v>
      </c>
      <c r="EM25" s="1">
        <v>0</v>
      </c>
      <c r="EN25" s="1">
        <v>0</v>
      </c>
      <c r="EO25" s="1">
        <v>0</v>
      </c>
      <c r="EP25" s="1">
        <v>0</v>
      </c>
      <c r="EQ25" s="1">
        <v>0</v>
      </c>
      <c r="ER25" s="1">
        <v>0</v>
      </c>
      <c r="ES25" s="1">
        <v>0</v>
      </c>
      <c r="ET25" s="1">
        <v>0</v>
      </c>
      <c r="EU25" s="1">
        <v>0</v>
      </c>
      <c r="EV25" s="1">
        <v>0</v>
      </c>
      <c r="EW25" s="1">
        <v>0</v>
      </c>
      <c r="EX25" s="1">
        <v>0</v>
      </c>
      <c r="EY25" s="1">
        <v>0</v>
      </c>
      <c r="EZ25" s="1">
        <v>0</v>
      </c>
      <c r="FA25" s="1">
        <v>0</v>
      </c>
      <c r="FB25" s="1">
        <v>0</v>
      </c>
      <c r="FC25" s="1">
        <v>0</v>
      </c>
      <c r="FD25" s="1">
        <v>0</v>
      </c>
      <c r="FE25" s="1">
        <f t="shared" si="0"/>
        <v>0</v>
      </c>
    </row>
    <row r="26" spans="5:161" ht="15.75" thickBot="1" x14ac:dyDescent="0.3">
      <c r="E26" s="1" t="s">
        <v>39</v>
      </c>
      <c r="F26" s="1">
        <v>6</v>
      </c>
      <c r="H26" s="1" t="s">
        <v>110</v>
      </c>
      <c r="I26" s="2">
        <v>34.034653400000003</v>
      </c>
      <c r="J26" s="2">
        <v>-5.0161926000000001</v>
      </c>
      <c r="K26" s="1">
        <f t="shared" si="3"/>
        <v>3.0465770542226003</v>
      </c>
      <c r="L26" s="1">
        <f t="shared" si="12"/>
        <v>2.4082637145310533</v>
      </c>
      <c r="M26" s="1">
        <f t="shared" si="12"/>
        <v>1.8786002160473931</v>
      </c>
      <c r="N26" s="1">
        <f t="shared" si="12"/>
        <v>2.8695059816990658</v>
      </c>
      <c r="O26" s="1">
        <f t="shared" si="12"/>
        <v>2.8309911960632479</v>
      </c>
      <c r="P26" s="1">
        <f t="shared" si="12"/>
        <v>1.6747657374141967</v>
      </c>
      <c r="Q26" s="1">
        <f t="shared" si="12"/>
        <v>2.7322947830941566</v>
      </c>
      <c r="R26" s="1">
        <f t="shared" si="12"/>
        <v>3.8263547674645308</v>
      </c>
      <c r="S26" s="1">
        <f t="shared" si="12"/>
        <v>4.494618641740697</v>
      </c>
      <c r="T26" s="1">
        <f t="shared" si="12"/>
        <v>5.3793705294172973</v>
      </c>
      <c r="U26" s="1">
        <f t="shared" si="12"/>
        <v>3.1042701658409717</v>
      </c>
      <c r="V26" s="1">
        <f t="shared" si="12"/>
        <v>5.3747737136725497</v>
      </c>
      <c r="W26" s="1">
        <f t="shared" si="12"/>
        <v>3.0040019711088357</v>
      </c>
      <c r="X26" s="1">
        <f t="shared" si="12"/>
        <v>4.5708030799792221</v>
      </c>
      <c r="Y26" s="1">
        <f t="shared" si="12"/>
        <v>3.9451212471226702</v>
      </c>
      <c r="Z26" s="1">
        <f t="shared" si="12"/>
        <v>2.1845493143138195</v>
      </c>
      <c r="AA26" s="1">
        <f t="shared" si="12"/>
        <v>3.6455269676484816</v>
      </c>
      <c r="AB26" s="1">
        <f t="shared" si="12"/>
        <v>1.3822029820761985</v>
      </c>
      <c r="AC26" s="1">
        <f t="shared" si="12"/>
        <v>2.5655389406137541</v>
      </c>
      <c r="AD26" s="1">
        <f t="shared" si="12"/>
        <v>3.7964421442834535</v>
      </c>
      <c r="AE26" s="5">
        <v>9999999</v>
      </c>
      <c r="AF26" s="1">
        <f t="shared" si="12"/>
        <v>0.5336671709900942</v>
      </c>
      <c r="AG26" s="1">
        <f t="shared" si="12"/>
        <v>0.5831305222568397</v>
      </c>
      <c r="AH26" s="1">
        <f t="shared" si="12"/>
        <v>0.51518766400188809</v>
      </c>
      <c r="AI26" s="1">
        <f t="shared" si="12"/>
        <v>0.17157349192378077</v>
      </c>
      <c r="AJ26" s="1">
        <f t="shared" si="12"/>
        <v>0.27826940901349989</v>
      </c>
      <c r="AK26" s="1">
        <f t="shared" si="12"/>
        <v>0.72952008583795713</v>
      </c>
      <c r="AL26" s="1">
        <f t="shared" si="12"/>
        <v>0.63117999628689081</v>
      </c>
      <c r="AM26" s="1">
        <f t="shared" si="12"/>
        <v>1.0249073844267684</v>
      </c>
      <c r="AN26" s="1">
        <f t="shared" si="12"/>
        <v>7.1343631644974108</v>
      </c>
      <c r="AO26" s="1">
        <f t="shared" si="12"/>
        <v>7.7527846746480558</v>
      </c>
      <c r="AP26" s="1">
        <f t="shared" si="12"/>
        <v>8.2658327601941082</v>
      </c>
      <c r="AQ26" s="1">
        <f t="shared" si="12"/>
        <v>6.946350690343384</v>
      </c>
      <c r="AR26" s="1">
        <f t="shared" si="12"/>
        <v>1.912253606078276</v>
      </c>
      <c r="AS26" s="1">
        <f t="shared" si="12"/>
        <v>1.6770498570266754</v>
      </c>
      <c r="AT26" s="1">
        <f t="shared" si="12"/>
        <v>1.5767217418718962</v>
      </c>
      <c r="AU26" s="1">
        <f t="shared" si="12"/>
        <v>1.8377570797381986</v>
      </c>
      <c r="AV26" s="1">
        <f t="shared" si="12"/>
        <v>1.6245238007996796</v>
      </c>
      <c r="AW26" s="1">
        <f t="shared" si="12"/>
        <v>1.6262303647994998</v>
      </c>
      <c r="AX26" s="1">
        <f t="shared" si="12"/>
        <v>1.1649219759697003</v>
      </c>
      <c r="AY26" s="1">
        <f t="shared" si="12"/>
        <v>0.9470922008828464</v>
      </c>
      <c r="AZ26" s="1">
        <f t="shared" si="12"/>
        <v>5.8404433606158284</v>
      </c>
      <c r="BA26" s="1">
        <f t="shared" si="12"/>
        <v>5.8351434824237769</v>
      </c>
      <c r="BB26" s="1">
        <f t="shared" si="12"/>
        <v>5.9035657965503683</v>
      </c>
      <c r="BC26" s="1">
        <f t="shared" si="12"/>
        <v>5.2460520950830274</v>
      </c>
      <c r="BD26" s="1">
        <f t="shared" si="12"/>
        <v>6.4057173128828913</v>
      </c>
      <c r="BE26" s="1">
        <f t="shared" si="12"/>
        <v>5.206902268132775</v>
      </c>
      <c r="BF26" s="1">
        <f t="shared" si="12"/>
        <v>2.6407732225018186</v>
      </c>
      <c r="BG26" s="1">
        <f t="shared" si="12"/>
        <v>2.3972010750555683</v>
      </c>
      <c r="BH26" s="1">
        <f t="shared" si="12"/>
        <v>3.5751095181591737</v>
      </c>
      <c r="BI26" s="1">
        <f t="shared" si="12"/>
        <v>2.6839207375614729</v>
      </c>
      <c r="BJ26" s="1">
        <f t="shared" si="12"/>
        <v>2.5692016039876129</v>
      </c>
      <c r="BK26" s="1">
        <f t="shared" si="12"/>
        <v>2.1478667340845807</v>
      </c>
      <c r="BL26" s="1">
        <f t="shared" si="12"/>
        <v>2.6771710794744994</v>
      </c>
      <c r="BM26" s="1">
        <f t="shared" si="12"/>
        <v>2.8008344571852732</v>
      </c>
      <c r="BN26" s="1">
        <f t="shared" si="12"/>
        <v>3.6782715423531265</v>
      </c>
      <c r="BO26" s="1">
        <f t="shared" si="12"/>
        <v>14.685509611574526</v>
      </c>
      <c r="BP26" s="1">
        <f t="shared" si="12"/>
        <v>15.231616962318673</v>
      </c>
      <c r="BQ26" s="1">
        <f t="shared" si="12"/>
        <v>2.1632187521945014</v>
      </c>
      <c r="BR26" s="1">
        <f t="shared" si="12"/>
        <v>2.5864952421923659</v>
      </c>
      <c r="BS26" s="1">
        <f t="shared" si="12"/>
        <v>2.3884164872603177</v>
      </c>
      <c r="BT26" s="1">
        <f t="shared" si="12"/>
        <v>1.2784943751144986</v>
      </c>
      <c r="BU26" s="1">
        <f t="shared" si="12"/>
        <v>2.2145329161704335</v>
      </c>
      <c r="BV26" s="1">
        <f t="shared" si="12"/>
        <v>1.8178711676903065</v>
      </c>
      <c r="BW26" s="1">
        <f t="shared" si="12"/>
        <v>1.7978535370665538</v>
      </c>
      <c r="BX26" s="1">
        <f t="shared" si="11"/>
        <v>1.8849623595658849</v>
      </c>
      <c r="BY26" s="1">
        <f t="shared" si="11"/>
        <v>1.5708928336180408</v>
      </c>
      <c r="BZ26" s="1">
        <f t="shared" si="11"/>
        <v>1.0759985057251344</v>
      </c>
      <c r="CA26" s="1">
        <f t="shared" si="11"/>
        <v>0.72120175051639979</v>
      </c>
      <c r="CB26" s="1">
        <f t="shared" si="11"/>
        <v>0.93848663969889268</v>
      </c>
      <c r="CC26" s="1">
        <f t="shared" si="11"/>
        <v>10.688107884223205</v>
      </c>
      <c r="CD26" s="1">
        <f t="shared" si="11"/>
        <v>12.335893778288485</v>
      </c>
      <c r="CE26" s="1">
        <f t="shared" si="11"/>
        <v>9.9846112884863807</v>
      </c>
      <c r="CF26" s="1">
        <f t="shared" si="11"/>
        <v>9.8734553800797809</v>
      </c>
      <c r="CH26" s="1" t="s">
        <v>38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  <c r="CR26" s="1">
        <v>0</v>
      </c>
      <c r="CS26" s="1">
        <v>0</v>
      </c>
      <c r="CT26" s="1">
        <v>0</v>
      </c>
      <c r="CU26" s="1">
        <v>0</v>
      </c>
      <c r="CV26" s="1">
        <v>0</v>
      </c>
      <c r="CW26" s="1">
        <v>0</v>
      </c>
      <c r="CX26" s="1">
        <v>0</v>
      </c>
      <c r="CY26" s="1">
        <v>0</v>
      </c>
      <c r="CZ26" s="1">
        <v>0</v>
      </c>
      <c r="DA26" s="1">
        <v>0</v>
      </c>
      <c r="DB26" s="1">
        <v>0</v>
      </c>
      <c r="DC26" s="1">
        <v>0</v>
      </c>
      <c r="DD26" s="1">
        <v>1</v>
      </c>
      <c r="DE26" s="1">
        <v>0</v>
      </c>
      <c r="DF26" s="1">
        <v>0</v>
      </c>
      <c r="DG26" s="1">
        <v>0</v>
      </c>
      <c r="DH26" s="1">
        <v>0</v>
      </c>
      <c r="DI26" s="1">
        <v>0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  <c r="DU26" s="1">
        <v>0</v>
      </c>
      <c r="DV26" s="1">
        <v>0</v>
      </c>
      <c r="DW26" s="1">
        <v>0</v>
      </c>
      <c r="DX26" s="1">
        <v>0</v>
      </c>
      <c r="DY26" s="1">
        <v>0</v>
      </c>
      <c r="DZ26" s="1">
        <v>0</v>
      </c>
      <c r="EA26" s="1">
        <v>0</v>
      </c>
      <c r="EB26" s="1">
        <v>0</v>
      </c>
      <c r="EC26" s="1">
        <v>0</v>
      </c>
      <c r="ED26" s="1">
        <v>0</v>
      </c>
      <c r="EE26" s="1">
        <v>0</v>
      </c>
      <c r="EF26" s="1">
        <v>0</v>
      </c>
      <c r="EG26" s="1">
        <v>0</v>
      </c>
      <c r="EH26" s="1">
        <v>0</v>
      </c>
      <c r="EI26" s="1">
        <v>0</v>
      </c>
      <c r="EJ26" s="1">
        <v>0</v>
      </c>
      <c r="EK26" s="1">
        <v>0</v>
      </c>
      <c r="EL26" s="1">
        <v>0</v>
      </c>
      <c r="EM26" s="1">
        <v>0</v>
      </c>
      <c r="EN26" s="1">
        <v>0</v>
      </c>
      <c r="EO26" s="1">
        <v>0</v>
      </c>
      <c r="EP26" s="1">
        <v>0</v>
      </c>
      <c r="EQ26" s="1">
        <v>0</v>
      </c>
      <c r="ER26" s="1">
        <v>0</v>
      </c>
      <c r="ES26" s="1">
        <v>0</v>
      </c>
      <c r="ET26" s="1">
        <v>0</v>
      </c>
      <c r="EU26" s="1">
        <v>0</v>
      </c>
      <c r="EV26" s="1">
        <v>0</v>
      </c>
      <c r="EW26" s="1">
        <v>0</v>
      </c>
      <c r="EX26" s="1">
        <v>0</v>
      </c>
      <c r="EY26" s="1">
        <v>0</v>
      </c>
      <c r="EZ26" s="1">
        <v>0</v>
      </c>
      <c r="FA26" s="1">
        <v>0</v>
      </c>
      <c r="FB26" s="1">
        <v>0</v>
      </c>
      <c r="FC26" s="1">
        <v>0</v>
      </c>
      <c r="FD26" s="1">
        <v>0</v>
      </c>
      <c r="FE26" s="1">
        <f t="shared" si="0"/>
        <v>0</v>
      </c>
    </row>
    <row r="27" spans="5:161" ht="15.75" thickBot="1" x14ac:dyDescent="0.3">
      <c r="E27" s="1" t="s">
        <v>40</v>
      </c>
      <c r="F27" s="1">
        <v>12</v>
      </c>
      <c r="H27" s="1" t="s">
        <v>111</v>
      </c>
      <c r="I27" s="2">
        <v>33.897877000000001</v>
      </c>
      <c r="J27" s="2">
        <v>-5.5320345</v>
      </c>
      <c r="K27" s="1">
        <f t="shared" si="3"/>
        <v>3.5796842870727779</v>
      </c>
      <c r="L27" s="1">
        <f t="shared" si="12"/>
        <v>2.9284009168573073</v>
      </c>
      <c r="M27" s="1">
        <f t="shared" si="12"/>
        <v>2.3975788366264927</v>
      </c>
      <c r="N27" s="1">
        <f t="shared" si="12"/>
        <v>3.397210858748136</v>
      </c>
      <c r="O27" s="1">
        <f t="shared" si="12"/>
        <v>3.3638130697807647</v>
      </c>
      <c r="P27" s="1">
        <f t="shared" si="12"/>
        <v>2.2041853259223116</v>
      </c>
      <c r="Q27" s="1">
        <f t="shared" si="12"/>
        <v>3.1384417122258523</v>
      </c>
      <c r="R27" s="1">
        <f t="shared" si="12"/>
        <v>3.3465933072280207</v>
      </c>
      <c r="S27" s="1">
        <f t="shared" si="12"/>
        <v>3.9929824832734475</v>
      </c>
      <c r="T27" s="1">
        <f t="shared" si="12"/>
        <v>4.8611073704776961</v>
      </c>
      <c r="U27" s="1">
        <f t="shared" si="12"/>
        <v>2.6293081298241283</v>
      </c>
      <c r="V27" s="1">
        <f t="shared" si="12"/>
        <v>4.8566038982302091</v>
      </c>
      <c r="W27" s="1">
        <f t="shared" si="12"/>
        <v>3.5372985860943551</v>
      </c>
      <c r="X27" s="1">
        <f t="shared" si="12"/>
        <v>4.0429049720654069</v>
      </c>
      <c r="Y27" s="1">
        <f t="shared" si="12"/>
        <v>3.4251689408547796</v>
      </c>
      <c r="Z27" s="1">
        <f t="shared" si="12"/>
        <v>2.2542468223063863</v>
      </c>
      <c r="AA27" s="1">
        <f t="shared" si="12"/>
        <v>3.281453260262631</v>
      </c>
      <c r="AB27" s="1">
        <f t="shared" si="12"/>
        <v>1.4525360993125984</v>
      </c>
      <c r="AC27" s="1">
        <f t="shared" si="12"/>
        <v>2.3765471594267304</v>
      </c>
      <c r="AD27" s="1">
        <f t="shared" si="12"/>
        <v>3.582856494598166</v>
      </c>
      <c r="AE27" s="1">
        <f t="shared" si="12"/>
        <v>0.5336671709900942</v>
      </c>
      <c r="AF27" s="5">
        <v>9999999</v>
      </c>
      <c r="AG27" s="1">
        <f t="shared" si="12"/>
        <v>0.20294245561017968</v>
      </c>
      <c r="AH27" s="1">
        <f t="shared" si="12"/>
        <v>0.56339064465630739</v>
      </c>
      <c r="AI27" s="1">
        <f t="shared" si="12"/>
        <v>0.40033879986987286</v>
      </c>
      <c r="AJ27" s="1">
        <f t="shared" si="12"/>
        <v>0.70249948636511506</v>
      </c>
      <c r="AK27" s="1">
        <f t="shared" si="12"/>
        <v>0.96394187710178292</v>
      </c>
      <c r="AL27" s="1">
        <f t="shared" si="12"/>
        <v>1.10147884974758</v>
      </c>
      <c r="AM27" s="1">
        <f t="shared" si="12"/>
        <v>1.5577808305773475</v>
      </c>
      <c r="AN27" s="1">
        <f t="shared" si="12"/>
        <v>6.6784730509262067</v>
      </c>
      <c r="AO27" s="1">
        <f t="shared" si="12"/>
        <v>7.3768569962049355</v>
      </c>
      <c r="AP27" s="1">
        <f t="shared" si="12"/>
        <v>7.7975959227986573</v>
      </c>
      <c r="AQ27" s="1">
        <f t="shared" si="12"/>
        <v>6.476445281508723</v>
      </c>
      <c r="AR27" s="1">
        <f t="shared" si="12"/>
        <v>1.8990214268231331</v>
      </c>
      <c r="AS27" s="1">
        <f t="shared" si="12"/>
        <v>1.797652344941699</v>
      </c>
      <c r="AT27" s="1">
        <f t="shared" si="12"/>
        <v>1.6797225486078355</v>
      </c>
      <c r="AU27" s="1">
        <f t="shared" si="12"/>
        <v>1.8648893772115105</v>
      </c>
      <c r="AV27" s="1">
        <f t="shared" si="12"/>
        <v>1.4382704627728169</v>
      </c>
      <c r="AW27" s="1">
        <f t="shared" si="12"/>
        <v>2.0930757633495376</v>
      </c>
      <c r="AX27" s="1">
        <f t="shared" si="12"/>
        <v>1.2975845330161719</v>
      </c>
      <c r="AY27" s="1">
        <f t="shared" si="12"/>
        <v>0.90007980014121358</v>
      </c>
      <c r="AZ27" s="1">
        <f t="shared" si="12"/>
        <v>5.3547577354979321</v>
      </c>
      <c r="BA27" s="1">
        <f t="shared" si="12"/>
        <v>5.3529629881900789</v>
      </c>
      <c r="BB27" s="1">
        <f t="shared" si="12"/>
        <v>5.4388756569663386</v>
      </c>
      <c r="BC27" s="1">
        <f t="shared" si="12"/>
        <v>4.7810598218424936</v>
      </c>
      <c r="BD27" s="1">
        <f t="shared" si="12"/>
        <v>5.9386363017967367</v>
      </c>
      <c r="BE27" s="1">
        <f t="shared" si="12"/>
        <v>4.8142058675558701</v>
      </c>
      <c r="BF27" s="1">
        <f t="shared" si="12"/>
        <v>2.1099164423066541</v>
      </c>
      <c r="BG27" s="1">
        <f t="shared" si="12"/>
        <v>1.8682513853723701</v>
      </c>
      <c r="BH27" s="1">
        <f t="shared" si="12"/>
        <v>3.041788691048148</v>
      </c>
      <c r="BI27" s="1">
        <f t="shared" si="12"/>
        <v>2.1503062687124941</v>
      </c>
      <c r="BJ27" s="1">
        <f t="shared" si="12"/>
        <v>2.0358816628935608</v>
      </c>
      <c r="BK27" s="1">
        <f t="shared" si="12"/>
        <v>1.6156269172137261</v>
      </c>
      <c r="BL27" s="1">
        <f t="shared" si="12"/>
        <v>2.1438318622293497</v>
      </c>
      <c r="BM27" s="1">
        <f t="shared" si="12"/>
        <v>2.2717678090985114</v>
      </c>
      <c r="BN27" s="1">
        <f t="shared" si="12"/>
        <v>3.1495911680582407</v>
      </c>
      <c r="BO27" s="1">
        <f t="shared" si="12"/>
        <v>14.236818675214499</v>
      </c>
      <c r="BP27" s="1">
        <f t="shared" si="12"/>
        <v>14.808337287025397</v>
      </c>
      <c r="BQ27" s="1">
        <f t="shared" si="12"/>
        <v>1.7662508777510224</v>
      </c>
      <c r="BR27" s="1">
        <f t="shared" si="12"/>
        <v>2.2185021708662735</v>
      </c>
      <c r="BS27" s="1">
        <f t="shared" si="12"/>
        <v>1.9171961030478604</v>
      </c>
      <c r="BT27" s="1">
        <f t="shared" si="12"/>
        <v>0.97189739777399176</v>
      </c>
      <c r="BU27" s="1">
        <f t="shared" si="12"/>
        <v>1.7092631373118798</v>
      </c>
      <c r="BV27" s="1">
        <f t="shared" si="12"/>
        <v>1.3079250698110687</v>
      </c>
      <c r="BW27" s="1">
        <f t="shared" ref="BW27:CF30" si="13">SQRT(POWER($I27-BW$4,2)+POWER(BW$5-$J27,2))</f>
        <v>1.2903843064956457</v>
      </c>
      <c r="BX27" s="1">
        <f t="shared" si="13"/>
        <v>1.3555051068456769</v>
      </c>
      <c r="BY27" s="1">
        <f t="shared" si="13"/>
        <v>1.1009936404626723</v>
      </c>
      <c r="BZ27" s="1">
        <f t="shared" si="13"/>
        <v>0.54477965598051725</v>
      </c>
      <c r="CA27" s="1">
        <f t="shared" si="13"/>
        <v>0.37432529546538978</v>
      </c>
      <c r="CB27" s="1">
        <f t="shared" si="13"/>
        <v>0.53594998530016758</v>
      </c>
      <c r="CC27" s="1">
        <f t="shared" si="13"/>
        <v>10.207841163963257</v>
      </c>
      <c r="CD27" s="1">
        <f t="shared" si="13"/>
        <v>11.854463625105325</v>
      </c>
      <c r="CE27" s="1">
        <f t="shared" si="13"/>
        <v>9.4947725092248927</v>
      </c>
      <c r="CF27" s="1">
        <f t="shared" si="13"/>
        <v>9.4292005825689849</v>
      </c>
      <c r="CH27" s="1" t="s">
        <v>39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  <c r="CR27" s="1">
        <v>0</v>
      </c>
      <c r="CS27" s="1">
        <v>0</v>
      </c>
      <c r="CT27" s="1">
        <v>0</v>
      </c>
      <c r="CU27" s="1">
        <v>0</v>
      </c>
      <c r="CV27" s="1">
        <v>0</v>
      </c>
      <c r="CW27" s="1">
        <v>0</v>
      </c>
      <c r="CX27" s="1">
        <v>0</v>
      </c>
      <c r="CY27" s="1">
        <v>0</v>
      </c>
      <c r="CZ27" s="1">
        <v>0</v>
      </c>
      <c r="DA27" s="1">
        <v>0</v>
      </c>
      <c r="DB27" s="1">
        <v>0</v>
      </c>
      <c r="DC27" s="1">
        <v>0</v>
      </c>
      <c r="DD27" s="1">
        <v>0</v>
      </c>
      <c r="DE27" s="1">
        <v>1</v>
      </c>
      <c r="DF27" s="1">
        <v>0</v>
      </c>
      <c r="DG27" s="1">
        <v>0</v>
      </c>
      <c r="DH27" s="1">
        <v>0</v>
      </c>
      <c r="DI27" s="1">
        <v>0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  <c r="DU27" s="1">
        <v>0</v>
      </c>
      <c r="DV27" s="1">
        <v>0</v>
      </c>
      <c r="DW27" s="1">
        <v>0</v>
      </c>
      <c r="DX27" s="1">
        <v>0</v>
      </c>
      <c r="DY27" s="1">
        <v>0</v>
      </c>
      <c r="DZ27" s="1">
        <v>0</v>
      </c>
      <c r="EA27" s="1">
        <v>0</v>
      </c>
      <c r="EB27" s="1">
        <v>0</v>
      </c>
      <c r="EC27" s="1">
        <v>0</v>
      </c>
      <c r="ED27" s="1">
        <v>0</v>
      </c>
      <c r="EE27" s="1">
        <v>0</v>
      </c>
      <c r="EF27" s="1">
        <v>0</v>
      </c>
      <c r="EG27" s="1">
        <v>0</v>
      </c>
      <c r="EH27" s="1">
        <v>0</v>
      </c>
      <c r="EI27" s="1">
        <v>0</v>
      </c>
      <c r="EJ27" s="1">
        <v>0</v>
      </c>
      <c r="EK27" s="1">
        <v>0</v>
      </c>
      <c r="EL27" s="1">
        <v>0</v>
      </c>
      <c r="EM27" s="1">
        <v>0</v>
      </c>
      <c r="EN27" s="1">
        <v>0</v>
      </c>
      <c r="EO27" s="1">
        <v>0</v>
      </c>
      <c r="EP27" s="1">
        <v>0</v>
      </c>
      <c r="EQ27" s="1">
        <v>0</v>
      </c>
      <c r="ER27" s="1">
        <v>0</v>
      </c>
      <c r="ES27" s="1">
        <v>0</v>
      </c>
      <c r="ET27" s="1">
        <v>0</v>
      </c>
      <c r="EU27" s="1">
        <v>0</v>
      </c>
      <c r="EV27" s="1">
        <v>0</v>
      </c>
      <c r="EW27" s="1">
        <v>0</v>
      </c>
      <c r="EX27" s="1">
        <v>0</v>
      </c>
      <c r="EY27" s="1">
        <v>0</v>
      </c>
      <c r="EZ27" s="1">
        <v>0</v>
      </c>
      <c r="FA27" s="1">
        <v>0</v>
      </c>
      <c r="FB27" s="1">
        <v>0</v>
      </c>
      <c r="FC27" s="1">
        <v>0</v>
      </c>
      <c r="FD27" s="1">
        <v>0</v>
      </c>
      <c r="FE27" s="1">
        <f t="shared" si="0"/>
        <v>0</v>
      </c>
    </row>
    <row r="28" spans="5:161" ht="15.75" thickBot="1" x14ac:dyDescent="0.3">
      <c r="E28" s="1" t="s">
        <v>41</v>
      </c>
      <c r="F28" s="1">
        <v>10</v>
      </c>
      <c r="H28" s="1" t="s">
        <v>112</v>
      </c>
      <c r="I28" s="2">
        <v>33.698751549999997</v>
      </c>
      <c r="J28" s="2">
        <v>-5.4928593107677104</v>
      </c>
      <c r="K28" s="1">
        <f t="shared" si="3"/>
        <v>3.5900224840534887</v>
      </c>
      <c r="L28" s="1">
        <f t="shared" ref="L28:BW31" si="14">SQRT(POWER($I28-L$4,2)+POWER(L$5-$J28,2))</f>
        <v>2.9887859527938061</v>
      </c>
      <c r="M28" s="1">
        <f t="shared" si="14"/>
        <v>2.4599913124655979</v>
      </c>
      <c r="N28" s="1">
        <f t="shared" si="14"/>
        <v>3.3885638936495464</v>
      </c>
      <c r="O28" s="1">
        <f t="shared" si="14"/>
        <v>3.3934078731785564</v>
      </c>
      <c r="P28" s="1">
        <f t="shared" si="14"/>
        <v>2.2043923234576841</v>
      </c>
      <c r="Q28" s="1">
        <f t="shared" si="14"/>
        <v>3.0313062425087782</v>
      </c>
      <c r="R28" s="1">
        <f t="shared" si="14"/>
        <v>3.2447715951575939</v>
      </c>
      <c r="S28" s="1">
        <f t="shared" si="14"/>
        <v>3.9117379926715681</v>
      </c>
      <c r="T28" s="1">
        <f t="shared" si="14"/>
        <v>4.8014187391013312</v>
      </c>
      <c r="U28" s="1">
        <f t="shared" si="14"/>
        <v>2.5233188625990626</v>
      </c>
      <c r="V28" s="1">
        <f t="shared" si="14"/>
        <v>4.7967663499050293</v>
      </c>
      <c r="W28" s="1">
        <f t="shared" si="14"/>
        <v>3.5631397456678533</v>
      </c>
      <c r="X28" s="1">
        <f t="shared" si="14"/>
        <v>4.003221556197361</v>
      </c>
      <c r="Y28" s="1">
        <f t="shared" si="14"/>
        <v>3.3689924291898841</v>
      </c>
      <c r="Z28" s="1">
        <f t="shared" si="14"/>
        <v>2.0622118435048549</v>
      </c>
      <c r="AA28" s="1">
        <f t="shared" si="14"/>
        <v>3.1195019221819966</v>
      </c>
      <c r="AB28" s="1">
        <f t="shared" si="14"/>
        <v>1.2665307216555592</v>
      </c>
      <c r="AC28" s="1">
        <f t="shared" si="14"/>
        <v>2.1777584474917271</v>
      </c>
      <c r="AD28" s="1">
        <f t="shared" si="14"/>
        <v>3.3882530255076531</v>
      </c>
      <c r="AE28" s="1">
        <f t="shared" si="14"/>
        <v>0.5831305222568397</v>
      </c>
      <c r="AF28" s="1">
        <f t="shared" si="14"/>
        <v>0.20294245561017968</v>
      </c>
      <c r="AG28" s="5">
        <v>9999999</v>
      </c>
      <c r="AH28" s="1">
        <f t="shared" si="14"/>
        <v>0.42173908349766076</v>
      </c>
      <c r="AI28" s="1">
        <f t="shared" si="14"/>
        <v>0.49933483463585837</v>
      </c>
      <c r="AJ28" s="1">
        <f t="shared" si="14"/>
        <v>0.67147890830137347</v>
      </c>
      <c r="AK28" s="1">
        <f t="shared" si="14"/>
        <v>0.83354559582721766</v>
      </c>
      <c r="AL28" s="1">
        <f t="shared" si="14"/>
        <v>1.1997313502300657</v>
      </c>
      <c r="AM28" s="1">
        <f t="shared" si="14"/>
        <v>1.575104103950516</v>
      </c>
      <c r="AN28" s="1">
        <f t="shared" si="14"/>
        <v>6.560621064522616</v>
      </c>
      <c r="AO28" s="1">
        <f t="shared" si="14"/>
        <v>7.2216683599873441</v>
      </c>
      <c r="AP28" s="1">
        <f t="shared" si="14"/>
        <v>7.6879943025694795</v>
      </c>
      <c r="AQ28" s="1">
        <f t="shared" si="14"/>
        <v>6.3678442995103461</v>
      </c>
      <c r="AR28" s="1">
        <f t="shared" si="14"/>
        <v>2.1017258781956065</v>
      </c>
      <c r="AS28" s="1">
        <f t="shared" si="14"/>
        <v>1.9918455574987846</v>
      </c>
      <c r="AT28" s="1">
        <f t="shared" si="14"/>
        <v>1.8751766187051571</v>
      </c>
      <c r="AU28" s="1">
        <f t="shared" si="14"/>
        <v>2.0662903974064544</v>
      </c>
      <c r="AV28" s="1">
        <f t="shared" si="14"/>
        <v>1.6355814577618815</v>
      </c>
      <c r="AW28" s="1">
        <f t="shared" si="14"/>
        <v>2.1984505231994036</v>
      </c>
      <c r="AX28" s="1">
        <f t="shared" si="14"/>
        <v>1.4871313669612094</v>
      </c>
      <c r="AY28" s="1">
        <f t="shared" si="14"/>
        <v>1.1013396828232604</v>
      </c>
      <c r="AZ28" s="1">
        <f t="shared" si="14"/>
        <v>5.2582316546146348</v>
      </c>
      <c r="BA28" s="1">
        <f t="shared" si="14"/>
        <v>5.2535178630856754</v>
      </c>
      <c r="BB28" s="1">
        <f t="shared" si="14"/>
        <v>5.3264690601287832</v>
      </c>
      <c r="BC28" s="1">
        <f t="shared" si="14"/>
        <v>4.6686858597799565</v>
      </c>
      <c r="BD28" s="1">
        <f t="shared" si="14"/>
        <v>5.8279707506511755</v>
      </c>
      <c r="BE28" s="1">
        <f t="shared" si="14"/>
        <v>4.6642701162085434</v>
      </c>
      <c r="BF28" s="1">
        <f t="shared" si="14"/>
        <v>2.1297215117534614</v>
      </c>
      <c r="BG28" s="1">
        <f t="shared" si="14"/>
        <v>1.8964721268160769</v>
      </c>
      <c r="BH28" s="1">
        <f t="shared" si="14"/>
        <v>3.0433086575563717</v>
      </c>
      <c r="BI28" s="1">
        <f t="shared" si="14"/>
        <v>2.1498959143682996</v>
      </c>
      <c r="BJ28" s="1">
        <f t="shared" si="14"/>
        <v>2.0410379238807699</v>
      </c>
      <c r="BK28" s="1">
        <f t="shared" si="14"/>
        <v>1.6322317901130903</v>
      </c>
      <c r="BL28" s="1">
        <f t="shared" si="14"/>
        <v>2.1323158118658214</v>
      </c>
      <c r="BM28" s="1">
        <f t="shared" si="14"/>
        <v>2.2380954781597189</v>
      </c>
      <c r="BN28" s="1">
        <f t="shared" si="14"/>
        <v>3.1130459823325811</v>
      </c>
      <c r="BO28" s="1">
        <f t="shared" si="14"/>
        <v>14.115399261160775</v>
      </c>
      <c r="BP28" s="1">
        <f t="shared" si="14"/>
        <v>14.673680214601799</v>
      </c>
      <c r="BQ28" s="1">
        <f t="shared" si="14"/>
        <v>1.6132075031247164</v>
      </c>
      <c r="BR28" s="1">
        <f t="shared" si="14"/>
        <v>2.0557129723890326</v>
      </c>
      <c r="BS28" s="1">
        <f t="shared" si="14"/>
        <v>1.8076652232655919</v>
      </c>
      <c r="BT28" s="1">
        <f t="shared" si="14"/>
        <v>0.7831942212133598</v>
      </c>
      <c r="BU28" s="1">
        <f t="shared" si="14"/>
        <v>1.6332463570839444</v>
      </c>
      <c r="BV28" s="1">
        <f t="shared" si="14"/>
        <v>1.3796522476208655</v>
      </c>
      <c r="BW28" s="1">
        <f t="shared" si="14"/>
        <v>1.3657484300229326</v>
      </c>
      <c r="BX28" s="1">
        <f t="shared" si="13"/>
        <v>1.3872331153054869</v>
      </c>
      <c r="BY28" s="1">
        <f t="shared" si="13"/>
        <v>1.2168593529550475</v>
      </c>
      <c r="BZ28" s="1">
        <f t="shared" si="13"/>
        <v>0.59448014162806628</v>
      </c>
      <c r="CA28" s="1">
        <f t="shared" si="13"/>
        <v>0.57113960225780258</v>
      </c>
      <c r="CB28" s="1">
        <f t="shared" si="13"/>
        <v>0.70962015905302844</v>
      </c>
      <c r="CC28" s="1">
        <f t="shared" si="13"/>
        <v>10.107229227487753</v>
      </c>
      <c r="CD28" s="1">
        <f t="shared" si="13"/>
        <v>11.754821723473299</v>
      </c>
      <c r="CE28" s="1">
        <f t="shared" si="13"/>
        <v>9.402044981921696</v>
      </c>
      <c r="CF28" s="1">
        <f t="shared" si="13"/>
        <v>9.3049067824023126</v>
      </c>
      <c r="CH28" s="1" t="s">
        <v>40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  <c r="CR28" s="1">
        <v>0</v>
      </c>
      <c r="CS28" s="1">
        <v>0</v>
      </c>
      <c r="CT28" s="1">
        <v>0</v>
      </c>
      <c r="CU28" s="1">
        <v>0</v>
      </c>
      <c r="CV28" s="1">
        <v>0</v>
      </c>
      <c r="CW28" s="1">
        <v>0</v>
      </c>
      <c r="CX28" s="1">
        <v>0</v>
      </c>
      <c r="CY28" s="1">
        <v>0</v>
      </c>
      <c r="CZ28" s="1">
        <v>0</v>
      </c>
      <c r="DA28" s="1">
        <v>0</v>
      </c>
      <c r="DB28" s="1">
        <v>0</v>
      </c>
      <c r="DC28" s="1">
        <v>0</v>
      </c>
      <c r="DD28" s="1">
        <v>0</v>
      </c>
      <c r="DE28" s="1">
        <v>0</v>
      </c>
      <c r="DF28" s="1">
        <v>0</v>
      </c>
      <c r="DG28" s="1">
        <v>0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  <c r="DU28" s="1">
        <v>0</v>
      </c>
      <c r="DV28" s="1">
        <v>0</v>
      </c>
      <c r="DW28" s="1">
        <v>0</v>
      </c>
      <c r="DX28" s="1">
        <v>0</v>
      </c>
      <c r="DY28" s="1">
        <v>0</v>
      </c>
      <c r="DZ28" s="1">
        <v>0</v>
      </c>
      <c r="EA28" s="1">
        <v>0</v>
      </c>
      <c r="EB28" s="1">
        <v>0</v>
      </c>
      <c r="EC28" s="1">
        <v>0</v>
      </c>
      <c r="ED28" s="1">
        <v>0</v>
      </c>
      <c r="EE28" s="1">
        <v>0</v>
      </c>
      <c r="EF28" s="1">
        <v>0</v>
      </c>
      <c r="EG28" s="1">
        <v>0</v>
      </c>
      <c r="EH28" s="1">
        <v>0</v>
      </c>
      <c r="EI28" s="1">
        <v>0</v>
      </c>
      <c r="EJ28" s="1">
        <v>0</v>
      </c>
      <c r="EK28" s="1">
        <v>1</v>
      </c>
      <c r="EL28" s="1">
        <v>0</v>
      </c>
      <c r="EM28" s="1">
        <v>0</v>
      </c>
      <c r="EN28" s="1">
        <v>0</v>
      </c>
      <c r="EO28" s="1">
        <v>0</v>
      </c>
      <c r="EP28" s="1">
        <v>0</v>
      </c>
      <c r="EQ28" s="1">
        <v>0</v>
      </c>
      <c r="ER28" s="1">
        <v>0</v>
      </c>
      <c r="ES28" s="1">
        <v>0</v>
      </c>
      <c r="ET28" s="1">
        <v>0</v>
      </c>
      <c r="EU28" s="1">
        <v>0</v>
      </c>
      <c r="EV28" s="1">
        <v>0</v>
      </c>
      <c r="EW28" s="1">
        <v>0</v>
      </c>
      <c r="EX28" s="1">
        <v>0</v>
      </c>
      <c r="EY28" s="1">
        <v>0</v>
      </c>
      <c r="EZ28" s="1">
        <v>0</v>
      </c>
      <c r="FA28" s="1">
        <v>0</v>
      </c>
      <c r="FB28" s="1">
        <v>0</v>
      </c>
      <c r="FC28" s="1">
        <v>0</v>
      </c>
      <c r="FD28" s="1">
        <v>0</v>
      </c>
      <c r="FE28" s="1">
        <f t="shared" si="0"/>
        <v>0</v>
      </c>
    </row>
    <row r="29" spans="5:161" ht="15.75" thickBot="1" x14ac:dyDescent="0.3">
      <c r="E29" s="1" t="s">
        <v>42</v>
      </c>
      <c r="F29" s="1">
        <v>3</v>
      </c>
      <c r="H29" s="1" t="s">
        <v>113</v>
      </c>
      <c r="I29" s="2">
        <v>33.527605000000001</v>
      </c>
      <c r="J29" s="2">
        <v>-5.1074080000000004</v>
      </c>
      <c r="K29" s="1">
        <f t="shared" si="3"/>
        <v>3.2761702202256107</v>
      </c>
      <c r="L29" s="1">
        <f t="shared" si="14"/>
        <v>2.7636571745455818</v>
      </c>
      <c r="M29" s="1">
        <f t="shared" si="14"/>
        <v>2.2464663809267202</v>
      </c>
      <c r="N29" s="1">
        <f t="shared" si="14"/>
        <v>3.0496410988044147</v>
      </c>
      <c r="O29" s="1">
        <f t="shared" si="14"/>
        <v>3.1104145020834029</v>
      </c>
      <c r="P29" s="1">
        <f t="shared" si="14"/>
        <v>1.8887587592940489</v>
      </c>
      <c r="Q29" s="1">
        <f t="shared" si="14"/>
        <v>2.611300919672328</v>
      </c>
      <c r="R29" s="1">
        <f t="shared" si="14"/>
        <v>3.4527183068151288</v>
      </c>
      <c r="S29" s="1">
        <f t="shared" si="14"/>
        <v>4.154671185097822</v>
      </c>
      <c r="T29" s="1">
        <f t="shared" si="14"/>
        <v>5.0772942331662767</v>
      </c>
      <c r="U29" s="1">
        <f t="shared" si="14"/>
        <v>2.730853135107965</v>
      </c>
      <c r="V29" s="1">
        <f t="shared" si="14"/>
        <v>5.0724179465524042</v>
      </c>
      <c r="W29" s="1">
        <f t="shared" si="14"/>
        <v>3.2729545747698015</v>
      </c>
      <c r="X29" s="1">
        <f t="shared" si="14"/>
        <v>4.3121118539903494</v>
      </c>
      <c r="Y29" s="1">
        <f t="shared" si="14"/>
        <v>3.6570286908058298</v>
      </c>
      <c r="Z29" s="1">
        <f t="shared" si="14"/>
        <v>1.7345382829967435</v>
      </c>
      <c r="AA29" s="1">
        <f t="shared" si="14"/>
        <v>3.1703728003137108</v>
      </c>
      <c r="AB29" s="1">
        <f t="shared" si="14"/>
        <v>0.92353151201515937</v>
      </c>
      <c r="AC29" s="1">
        <f t="shared" si="14"/>
        <v>2.0505385934336884</v>
      </c>
      <c r="AD29" s="1">
        <f t="shared" si="14"/>
        <v>3.2817305674386201</v>
      </c>
      <c r="AE29" s="1">
        <f t="shared" si="14"/>
        <v>0.51518766400188809</v>
      </c>
      <c r="AF29" s="1">
        <f t="shared" si="14"/>
        <v>0.56339064465630739</v>
      </c>
      <c r="AG29" s="1">
        <f t="shared" si="14"/>
        <v>0.42173908349766076</v>
      </c>
      <c r="AH29" s="5">
        <v>9999999</v>
      </c>
      <c r="AI29" s="1">
        <f t="shared" si="14"/>
        <v>0.56447716295524297</v>
      </c>
      <c r="AJ29" s="1">
        <f t="shared" si="14"/>
        <v>0.40434958765033746</v>
      </c>
      <c r="AK29" s="1">
        <f t="shared" si="14"/>
        <v>0.41181453769833953</v>
      </c>
      <c r="AL29" s="1">
        <f t="shared" si="14"/>
        <v>1.1153884247368733</v>
      </c>
      <c r="AM29" s="1">
        <f t="shared" si="14"/>
        <v>1.302939972107696</v>
      </c>
      <c r="AN29" s="1">
        <f t="shared" si="14"/>
        <v>6.7175475854396778</v>
      </c>
      <c r="AO29" s="1">
        <f t="shared" si="14"/>
        <v>7.2746817768206373</v>
      </c>
      <c r="AP29" s="1">
        <f t="shared" si="14"/>
        <v>7.8615378788275256</v>
      </c>
      <c r="AQ29" s="1">
        <f t="shared" si="14"/>
        <v>6.5464151801576982</v>
      </c>
      <c r="AR29" s="1">
        <f t="shared" si="14"/>
        <v>2.3549735640493328</v>
      </c>
      <c r="AS29" s="1">
        <f t="shared" si="14"/>
        <v>2.1665299198830921</v>
      </c>
      <c r="AT29" s="1">
        <f t="shared" si="14"/>
        <v>2.0599299959717445</v>
      </c>
      <c r="AU29" s="1">
        <f t="shared" si="14"/>
        <v>2.2968067013199018</v>
      </c>
      <c r="AV29" s="1">
        <f t="shared" si="14"/>
        <v>1.9682639179826162</v>
      </c>
      <c r="AW29" s="1">
        <f t="shared" si="14"/>
        <v>2.0822316879648626</v>
      </c>
      <c r="AX29" s="1">
        <f t="shared" si="14"/>
        <v>1.6511754299727934</v>
      </c>
      <c r="AY29" s="1">
        <f t="shared" si="14"/>
        <v>1.3537606421849453</v>
      </c>
      <c r="AZ29" s="1">
        <f t="shared" si="14"/>
        <v>5.4657584404498607</v>
      </c>
      <c r="BA29" s="1">
        <f t="shared" si="14"/>
        <v>5.4550655085176842</v>
      </c>
      <c r="BB29" s="1">
        <f t="shared" si="14"/>
        <v>5.4996866263851123</v>
      </c>
      <c r="BC29" s="1">
        <f t="shared" si="14"/>
        <v>4.844693533805696</v>
      </c>
      <c r="BD29" s="1">
        <f t="shared" si="14"/>
        <v>6.0034408169285109</v>
      </c>
      <c r="BE29" s="1">
        <f t="shared" si="14"/>
        <v>4.7423352887177233</v>
      </c>
      <c r="BF29" s="1">
        <f t="shared" si="14"/>
        <v>2.5135111183968366</v>
      </c>
      <c r="BG29" s="1">
        <f t="shared" si="14"/>
        <v>2.2881142467626758</v>
      </c>
      <c r="BH29" s="1">
        <f t="shared" si="14"/>
        <v>3.40572253430182</v>
      </c>
      <c r="BI29" s="1">
        <f t="shared" si="14"/>
        <v>2.5158711905890567</v>
      </c>
      <c r="BJ29" s="1">
        <f t="shared" si="14"/>
        <v>2.4130871849852418</v>
      </c>
      <c r="BK29" s="1">
        <f t="shared" si="14"/>
        <v>2.0176037285699673</v>
      </c>
      <c r="BL29" s="1">
        <f t="shared" si="14"/>
        <v>2.4873572279080478</v>
      </c>
      <c r="BM29" s="1">
        <f t="shared" si="14"/>
        <v>2.5667671631733562</v>
      </c>
      <c r="BN29" s="1">
        <f t="shared" si="14"/>
        <v>3.4307419557678949</v>
      </c>
      <c r="BO29" s="1">
        <f t="shared" si="14"/>
        <v>14.254896111914764</v>
      </c>
      <c r="BP29" s="1">
        <f t="shared" si="14"/>
        <v>14.778922700146568</v>
      </c>
      <c r="BQ29" s="1">
        <f t="shared" si="14"/>
        <v>1.7252728164186106</v>
      </c>
      <c r="BR29" s="1">
        <f t="shared" si="14"/>
        <v>2.1218164797003407</v>
      </c>
      <c r="BS29" s="1">
        <f t="shared" si="14"/>
        <v>2.0219463484538931</v>
      </c>
      <c r="BT29" s="1">
        <f t="shared" si="14"/>
        <v>0.81632288524823549</v>
      </c>
      <c r="BU29" s="1">
        <f t="shared" si="14"/>
        <v>1.9128198833944086</v>
      </c>
      <c r="BV29" s="1">
        <f t="shared" si="14"/>
        <v>1.7961010844789986</v>
      </c>
      <c r="BW29" s="1">
        <f t="shared" si="14"/>
        <v>1.7832826516110658</v>
      </c>
      <c r="BX29" s="1">
        <f t="shared" si="13"/>
        <v>1.7854586056153408</v>
      </c>
      <c r="BY29" s="1">
        <f t="shared" si="13"/>
        <v>1.6379215959092777</v>
      </c>
      <c r="BZ29" s="1">
        <f t="shared" si="13"/>
        <v>1.0115441868415824</v>
      </c>
      <c r="CA29" s="1">
        <f t="shared" si="13"/>
        <v>0.92367669231447114</v>
      </c>
      <c r="CB29" s="1">
        <f t="shared" si="13"/>
        <v>1.0992586458854889</v>
      </c>
      <c r="CC29" s="1">
        <f t="shared" si="13"/>
        <v>10.297174427409775</v>
      </c>
      <c r="CD29" s="1">
        <f t="shared" si="13"/>
        <v>11.945406631528467</v>
      </c>
      <c r="CE29" s="1">
        <f t="shared" si="13"/>
        <v>9.6090907812097548</v>
      </c>
      <c r="CF29" s="1">
        <f t="shared" si="13"/>
        <v>9.4413555909355011</v>
      </c>
      <c r="CH29" s="1" t="s">
        <v>41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</v>
      </c>
      <c r="CO29" s="1">
        <v>0</v>
      </c>
      <c r="CP29" s="1">
        <v>0</v>
      </c>
      <c r="CQ29" s="1">
        <v>0</v>
      </c>
      <c r="CR29" s="1">
        <v>0</v>
      </c>
      <c r="CS29" s="1">
        <v>0</v>
      </c>
      <c r="CT29" s="1">
        <v>0</v>
      </c>
      <c r="CU29" s="1">
        <v>0</v>
      </c>
      <c r="CV29" s="1">
        <v>0</v>
      </c>
      <c r="CW29" s="1">
        <v>0</v>
      </c>
      <c r="CX29" s="1">
        <v>0</v>
      </c>
      <c r="CY29" s="1">
        <v>0</v>
      </c>
      <c r="CZ29" s="1">
        <v>0</v>
      </c>
      <c r="DA29" s="1">
        <v>0</v>
      </c>
      <c r="DB29" s="1">
        <v>0</v>
      </c>
      <c r="DC29" s="1">
        <v>0</v>
      </c>
      <c r="DD29" s="1">
        <v>0</v>
      </c>
      <c r="DE29" s="1">
        <v>0</v>
      </c>
      <c r="DF29" s="1">
        <v>0</v>
      </c>
      <c r="DG29" s="1">
        <v>0</v>
      </c>
      <c r="DH29" s="1">
        <v>0</v>
      </c>
      <c r="DI29" s="1">
        <v>0</v>
      </c>
      <c r="DJ29" s="1">
        <v>0</v>
      </c>
      <c r="DK29" s="1">
        <v>0</v>
      </c>
      <c r="DL29" s="1">
        <v>0</v>
      </c>
      <c r="DM29" s="1">
        <v>0</v>
      </c>
      <c r="DN29" s="1">
        <v>0</v>
      </c>
      <c r="DO29" s="1">
        <v>0</v>
      </c>
      <c r="DP29" s="1">
        <v>0</v>
      </c>
      <c r="DQ29" s="1">
        <v>0</v>
      </c>
      <c r="DR29" s="1">
        <v>0</v>
      </c>
      <c r="DS29" s="1">
        <v>0</v>
      </c>
      <c r="DT29" s="1">
        <v>0</v>
      </c>
      <c r="DU29" s="1">
        <v>0</v>
      </c>
      <c r="DV29" s="1">
        <v>0</v>
      </c>
      <c r="DW29" s="1">
        <v>1</v>
      </c>
      <c r="DX29" s="1">
        <v>0</v>
      </c>
      <c r="DY29" s="1">
        <v>0</v>
      </c>
      <c r="DZ29" s="1">
        <v>0</v>
      </c>
      <c r="EA29" s="1">
        <v>0</v>
      </c>
      <c r="EB29" s="1">
        <v>0</v>
      </c>
      <c r="EC29" s="1">
        <v>0</v>
      </c>
      <c r="ED29" s="1">
        <v>0</v>
      </c>
      <c r="EE29" s="1">
        <v>0</v>
      </c>
      <c r="EF29" s="1">
        <v>0</v>
      </c>
      <c r="EG29" s="1">
        <v>0</v>
      </c>
      <c r="EH29" s="1">
        <v>0</v>
      </c>
      <c r="EI29" s="1">
        <v>0</v>
      </c>
      <c r="EJ29" s="1">
        <v>0</v>
      </c>
      <c r="EK29" s="1">
        <v>0</v>
      </c>
      <c r="EL29" s="1">
        <v>0</v>
      </c>
      <c r="EM29" s="1">
        <v>0</v>
      </c>
      <c r="EN29" s="1">
        <v>0</v>
      </c>
      <c r="EO29" s="1">
        <v>0</v>
      </c>
      <c r="EP29" s="1">
        <v>0</v>
      </c>
      <c r="EQ29" s="1">
        <v>0</v>
      </c>
      <c r="ER29" s="1">
        <v>0</v>
      </c>
      <c r="ES29" s="1">
        <v>0</v>
      </c>
      <c r="ET29" s="1">
        <v>0</v>
      </c>
      <c r="EU29" s="1">
        <v>0</v>
      </c>
      <c r="EV29" s="1">
        <v>0</v>
      </c>
      <c r="EW29" s="1">
        <v>0</v>
      </c>
      <c r="EX29" s="1">
        <v>0</v>
      </c>
      <c r="EY29" s="1">
        <v>0</v>
      </c>
      <c r="EZ29" s="1">
        <v>0</v>
      </c>
      <c r="FA29" s="1">
        <v>0</v>
      </c>
      <c r="FB29" s="1">
        <v>0</v>
      </c>
      <c r="FC29" s="1">
        <v>0</v>
      </c>
      <c r="FD29" s="1">
        <v>0</v>
      </c>
      <c r="FE29" s="1">
        <f t="shared" si="0"/>
        <v>0</v>
      </c>
    </row>
    <row r="30" spans="5:161" ht="15.75" thickBot="1" x14ac:dyDescent="0.3">
      <c r="E30" s="1" t="s">
        <v>43</v>
      </c>
      <c r="F30" s="1">
        <v>4</v>
      </c>
      <c r="H30" s="1" t="s">
        <v>114</v>
      </c>
      <c r="I30" s="2">
        <v>34.087468000000001</v>
      </c>
      <c r="J30" s="2">
        <v>-5.1794349999999998</v>
      </c>
      <c r="K30" s="1">
        <f t="shared" si="3"/>
        <v>3.1964108568407719</v>
      </c>
      <c r="L30" s="1">
        <f t="shared" si="14"/>
        <v>2.528269207069862</v>
      </c>
      <c r="M30" s="1">
        <f t="shared" si="14"/>
        <v>1.9974088974679161</v>
      </c>
      <c r="N30" s="1">
        <f t="shared" si="14"/>
        <v>3.0276842037942129</v>
      </c>
      <c r="O30" s="1">
        <f t="shared" si="14"/>
        <v>2.971013150214576</v>
      </c>
      <c r="P30" s="1">
        <f t="shared" si="14"/>
        <v>1.8323022915894629</v>
      </c>
      <c r="Q30" s="1">
        <f t="shared" si="14"/>
        <v>2.9008081030350001</v>
      </c>
      <c r="R30" s="1">
        <f t="shared" si="14"/>
        <v>3.7355376968162073</v>
      </c>
      <c r="S30" s="1">
        <f t="shared" si="14"/>
        <v>4.3899504779953435</v>
      </c>
      <c r="T30" s="1">
        <f t="shared" si="14"/>
        <v>5.261376189854146</v>
      </c>
      <c r="U30" s="1">
        <f t="shared" si="14"/>
        <v>3.0157298921934315</v>
      </c>
      <c r="V30" s="1">
        <f t="shared" si="14"/>
        <v>5.2568669845346214</v>
      </c>
      <c r="W30" s="1">
        <f t="shared" si="14"/>
        <v>3.1459291175756285</v>
      </c>
      <c r="X30" s="1">
        <f t="shared" si="14"/>
        <v>4.4421472494441616</v>
      </c>
      <c r="Y30" s="1">
        <f t="shared" si="14"/>
        <v>3.8254899245593377</v>
      </c>
      <c r="Z30" s="1">
        <f t="shared" si="14"/>
        <v>2.2834519789497412</v>
      </c>
      <c r="AA30" s="1">
        <f t="shared" si="14"/>
        <v>3.6096650287483745</v>
      </c>
      <c r="AB30" s="1">
        <f t="shared" si="14"/>
        <v>1.4741720259471112</v>
      </c>
      <c r="AC30" s="1">
        <f t="shared" si="14"/>
        <v>2.5901307929301587</v>
      </c>
      <c r="AD30" s="1">
        <f t="shared" si="14"/>
        <v>3.8165312828673383</v>
      </c>
      <c r="AE30" s="1">
        <f t="shared" si="14"/>
        <v>0.17157349192378077</v>
      </c>
      <c r="AF30" s="1">
        <f t="shared" si="14"/>
        <v>0.40033879986987286</v>
      </c>
      <c r="AG30" s="1">
        <f t="shared" si="14"/>
        <v>0.49933483463585837</v>
      </c>
      <c r="AH30" s="1">
        <f t="shared" si="14"/>
        <v>0.56447716295524297</v>
      </c>
      <c r="AI30" s="5">
        <v>9999999</v>
      </c>
      <c r="AJ30" s="1">
        <f t="shared" si="14"/>
        <v>0.43442781069010966</v>
      </c>
      <c r="AK30" s="1">
        <f t="shared" si="14"/>
        <v>0.85210061206765175</v>
      </c>
      <c r="AL30" s="1">
        <f t="shared" si="14"/>
        <v>0.70621267090374484</v>
      </c>
      <c r="AM30" s="1">
        <f t="shared" si="14"/>
        <v>1.1780044853607305</v>
      </c>
      <c r="AN30" s="1">
        <f t="shared" si="14"/>
        <v>7.0580401463902032</v>
      </c>
      <c r="AO30" s="1">
        <f t="shared" si="14"/>
        <v>7.7147650907078473</v>
      </c>
      <c r="AP30" s="1">
        <f t="shared" si="14"/>
        <v>8.1828363946535063</v>
      </c>
      <c r="AQ30" s="1">
        <f t="shared" si="14"/>
        <v>6.8622033594085909</v>
      </c>
      <c r="AR30" s="1">
        <f t="shared" si="14"/>
        <v>1.8014179814818154</v>
      </c>
      <c r="AS30" s="1">
        <f t="shared" si="14"/>
        <v>1.6023556540370305</v>
      </c>
      <c r="AT30" s="1">
        <f t="shared" si="14"/>
        <v>1.4954543412032857</v>
      </c>
      <c r="AU30" s="1">
        <f t="shared" si="14"/>
        <v>1.7369678825017987</v>
      </c>
      <c r="AV30" s="1">
        <f t="shared" si="14"/>
        <v>1.4747210065127856</v>
      </c>
      <c r="AW30" s="1">
        <f t="shared" si="14"/>
        <v>1.703163916162211</v>
      </c>
      <c r="AX30" s="1">
        <f t="shared" si="14"/>
        <v>1.0869719595147227</v>
      </c>
      <c r="AY30" s="1">
        <f t="shared" si="14"/>
        <v>0.81384161412709632</v>
      </c>
      <c r="AZ30" s="1">
        <f t="shared" si="14"/>
        <v>5.7466458991989846</v>
      </c>
      <c r="BA30" s="1">
        <f t="shared" si="14"/>
        <v>5.7435169762924971</v>
      </c>
      <c r="BB30" s="1">
        <f t="shared" si="14"/>
        <v>5.8221419030053383</v>
      </c>
      <c r="BC30" s="1">
        <f t="shared" si="14"/>
        <v>5.1642637237325451</v>
      </c>
      <c r="BD30" s="1">
        <f t="shared" si="14"/>
        <v>6.3230734786097704</v>
      </c>
      <c r="BE30" s="1">
        <f t="shared" si="14"/>
        <v>5.1604253724581675</v>
      </c>
      <c r="BF30" s="1">
        <f t="shared" si="14"/>
        <v>2.4898793938415009</v>
      </c>
      <c r="BG30" s="1">
        <f t="shared" si="14"/>
        <v>2.2443275601203427</v>
      </c>
      <c r="BH30" s="1">
        <f t="shared" si="14"/>
        <v>3.4289796223731015</v>
      </c>
      <c r="BI30" s="1">
        <f t="shared" si="14"/>
        <v>2.5401429171308449</v>
      </c>
      <c r="BJ30" s="1">
        <f t="shared" si="14"/>
        <v>2.4236456632754719</v>
      </c>
      <c r="BK30" s="1">
        <f t="shared" si="14"/>
        <v>1.999761646271448</v>
      </c>
      <c r="BL30" s="1">
        <f t="shared" si="14"/>
        <v>2.537770546742911</v>
      </c>
      <c r="BM30" s="1">
        <f t="shared" si="14"/>
        <v>2.6707840462427885</v>
      </c>
      <c r="BN30" s="1">
        <f t="shared" si="14"/>
        <v>3.5486097379476833</v>
      </c>
      <c r="BO30" s="1">
        <f t="shared" si="14"/>
        <v>14.613797141839074</v>
      </c>
      <c r="BP30" s="1">
        <f t="shared" si="14"/>
        <v>15.172894014193965</v>
      </c>
      <c r="BQ30" s="1">
        <f t="shared" si="14"/>
        <v>2.1099797239843348</v>
      </c>
      <c r="BR30" s="1">
        <f t="shared" si="14"/>
        <v>2.5467040056300316</v>
      </c>
      <c r="BS30" s="1">
        <f t="shared" si="14"/>
        <v>2.301054137652049</v>
      </c>
      <c r="BT30" s="1">
        <f t="shared" si="14"/>
        <v>1.2516849745409619</v>
      </c>
      <c r="BU30" s="1">
        <f t="shared" si="14"/>
        <v>2.1064012581673515</v>
      </c>
      <c r="BV30" s="1">
        <f t="shared" si="14"/>
        <v>1.655867704277078</v>
      </c>
      <c r="BW30" s="1">
        <f t="shared" si="14"/>
        <v>1.6351364731926814</v>
      </c>
      <c r="BX30" s="1">
        <f t="shared" si="13"/>
        <v>1.7333657013457782</v>
      </c>
      <c r="BY30" s="1">
        <f t="shared" si="13"/>
        <v>1.4019651126757753</v>
      </c>
      <c r="BZ30" s="1">
        <f t="shared" si="13"/>
        <v>0.92945936740720536</v>
      </c>
      <c r="CA30" s="1">
        <f t="shared" si="13"/>
        <v>0.54984395162354971</v>
      </c>
      <c r="CB30" s="1">
        <f t="shared" si="13"/>
        <v>0.76743531924456065</v>
      </c>
      <c r="CC30" s="1">
        <f t="shared" si="13"/>
        <v>10.598181312233548</v>
      </c>
      <c r="CD30" s="1">
        <f t="shared" si="13"/>
        <v>12.245328892225873</v>
      </c>
      <c r="CE30" s="1">
        <f t="shared" si="13"/>
        <v>9.8885568938564692</v>
      </c>
      <c r="CF30" s="1">
        <f t="shared" si="13"/>
        <v>9.8037095035628763</v>
      </c>
      <c r="CH30" s="1" t="s">
        <v>42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1</v>
      </c>
      <c r="CO30" s="1">
        <v>0</v>
      </c>
      <c r="CP30" s="1">
        <v>0</v>
      </c>
      <c r="CQ30" s="1">
        <v>0</v>
      </c>
      <c r="CR30" s="1">
        <v>0</v>
      </c>
      <c r="CS30" s="1">
        <v>0</v>
      </c>
      <c r="CT30" s="1">
        <v>0</v>
      </c>
      <c r="CU30" s="1">
        <v>0</v>
      </c>
      <c r="CV30" s="1">
        <v>0</v>
      </c>
      <c r="CW30" s="1">
        <v>0</v>
      </c>
      <c r="CX30" s="1">
        <v>0</v>
      </c>
      <c r="CY30" s="1">
        <v>0</v>
      </c>
      <c r="CZ30" s="1">
        <v>0</v>
      </c>
      <c r="DA30" s="1">
        <v>0</v>
      </c>
      <c r="DB30" s="1">
        <v>0</v>
      </c>
      <c r="DC30" s="1">
        <v>0</v>
      </c>
      <c r="DD30" s="1">
        <v>0</v>
      </c>
      <c r="DE30" s="1">
        <v>0</v>
      </c>
      <c r="DF30" s="1">
        <v>0</v>
      </c>
      <c r="DG30" s="1">
        <v>0</v>
      </c>
      <c r="DH30" s="1">
        <v>0</v>
      </c>
      <c r="DI30" s="1">
        <v>0</v>
      </c>
      <c r="DJ30" s="1">
        <v>0</v>
      </c>
      <c r="DK30" s="1">
        <v>0</v>
      </c>
      <c r="DL30" s="1">
        <v>0</v>
      </c>
      <c r="DM30" s="1">
        <v>0</v>
      </c>
      <c r="DN30" s="1">
        <v>0</v>
      </c>
      <c r="DO30" s="1">
        <v>0</v>
      </c>
      <c r="DP30" s="1">
        <v>0</v>
      </c>
      <c r="DQ30" s="1">
        <v>0</v>
      </c>
      <c r="DR30" s="1">
        <v>0</v>
      </c>
      <c r="DS30" s="1">
        <v>0</v>
      </c>
      <c r="DT30" s="1">
        <v>0</v>
      </c>
      <c r="DU30" s="1">
        <v>0</v>
      </c>
      <c r="DV30" s="1">
        <v>0</v>
      </c>
      <c r="DW30" s="1">
        <v>0</v>
      </c>
      <c r="DX30" s="1">
        <v>0</v>
      </c>
      <c r="DY30" s="1">
        <v>0</v>
      </c>
      <c r="DZ30" s="1">
        <v>0</v>
      </c>
      <c r="EA30" s="1">
        <v>0</v>
      </c>
      <c r="EB30" s="1">
        <v>0</v>
      </c>
      <c r="EC30" s="1">
        <v>0</v>
      </c>
      <c r="ED30" s="1">
        <v>0</v>
      </c>
      <c r="EE30" s="1">
        <v>0</v>
      </c>
      <c r="EF30" s="1">
        <v>0</v>
      </c>
      <c r="EG30" s="1">
        <v>0</v>
      </c>
      <c r="EH30" s="1">
        <v>0</v>
      </c>
      <c r="EI30" s="1">
        <v>0</v>
      </c>
      <c r="EJ30" s="1">
        <v>0</v>
      </c>
      <c r="EK30" s="1">
        <v>0</v>
      </c>
      <c r="EL30" s="1">
        <v>0</v>
      </c>
      <c r="EM30" s="1">
        <v>0</v>
      </c>
      <c r="EN30" s="1">
        <v>0</v>
      </c>
      <c r="EO30" s="1">
        <v>0</v>
      </c>
      <c r="EP30" s="1">
        <v>0</v>
      </c>
      <c r="EQ30" s="1">
        <v>0</v>
      </c>
      <c r="ER30" s="1">
        <v>0</v>
      </c>
      <c r="ES30" s="1">
        <v>0</v>
      </c>
      <c r="ET30" s="1">
        <v>0</v>
      </c>
      <c r="EU30" s="1">
        <v>0</v>
      </c>
      <c r="EV30" s="1">
        <v>0</v>
      </c>
      <c r="EW30" s="1">
        <v>0</v>
      </c>
      <c r="EX30" s="1">
        <v>0</v>
      </c>
      <c r="EY30" s="1">
        <v>0</v>
      </c>
      <c r="EZ30" s="1">
        <v>0</v>
      </c>
      <c r="FA30" s="1">
        <v>0</v>
      </c>
      <c r="FB30" s="1">
        <v>0</v>
      </c>
      <c r="FC30" s="1">
        <v>0</v>
      </c>
      <c r="FD30" s="1">
        <v>0</v>
      </c>
      <c r="FE30" s="1">
        <f t="shared" si="0"/>
        <v>0</v>
      </c>
    </row>
    <row r="31" spans="5:161" ht="15.75" thickBot="1" x14ac:dyDescent="0.3">
      <c r="E31" s="1" t="s">
        <v>44</v>
      </c>
      <c r="F31" s="1">
        <v>12</v>
      </c>
      <c r="H31" s="1" t="s">
        <v>115</v>
      </c>
      <c r="I31" s="2">
        <v>33.824897999999997</v>
      </c>
      <c r="J31" s="2">
        <v>-4.8333360000000001</v>
      </c>
      <c r="K31" s="1">
        <f t="shared" si="3"/>
        <v>2.9214880702156223</v>
      </c>
      <c r="L31" s="1">
        <f t="shared" si="14"/>
        <v>2.3663582959954055</v>
      </c>
      <c r="M31" s="1">
        <f t="shared" si="14"/>
        <v>1.8459467715308056</v>
      </c>
      <c r="N31" s="1">
        <f t="shared" si="14"/>
        <v>2.7171082164937781</v>
      </c>
      <c r="O31" s="1">
        <f t="shared" si="14"/>
        <v>2.7356106417382478</v>
      </c>
      <c r="P31" s="1">
        <f t="shared" si="14"/>
        <v>1.5342350542746046</v>
      </c>
      <c r="Q31" s="1">
        <f t="shared" si="14"/>
        <v>2.4723110729967801</v>
      </c>
      <c r="R31" s="1">
        <f t="shared" si="14"/>
        <v>3.8464463013179211</v>
      </c>
      <c r="S31" s="1">
        <f t="shared" si="14"/>
        <v>4.5392054797962302</v>
      </c>
      <c r="T31" s="1">
        <f t="shared" si="14"/>
        <v>5.4493049040272572</v>
      </c>
      <c r="U31" s="1">
        <f t="shared" si="14"/>
        <v>3.1236872645000795</v>
      </c>
      <c r="V31" s="1">
        <f t="shared" si="14"/>
        <v>5.4445304032629389</v>
      </c>
      <c r="W31" s="1">
        <f t="shared" si="14"/>
        <v>2.9023745097551732</v>
      </c>
      <c r="X31" s="1">
        <f t="shared" si="14"/>
        <v>4.6656795974294001</v>
      </c>
      <c r="Y31" s="1">
        <f t="shared" si="14"/>
        <v>4.0220530006475537</v>
      </c>
      <c r="Z31" s="1">
        <f t="shared" si="14"/>
        <v>1.9373942704207308</v>
      </c>
      <c r="AA31" s="1">
        <f t="shared" si="14"/>
        <v>3.5712293232994687</v>
      </c>
      <c r="AB31" s="1">
        <f t="shared" si="14"/>
        <v>1.148358758542817</v>
      </c>
      <c r="AC31" s="1">
        <f t="shared" si="14"/>
        <v>2.4069460833612357</v>
      </c>
      <c r="AD31" s="1">
        <f t="shared" si="14"/>
        <v>3.6380862144234545</v>
      </c>
      <c r="AE31" s="1">
        <f t="shared" si="14"/>
        <v>0.27826940901349989</v>
      </c>
      <c r="AF31" s="1">
        <f t="shared" si="14"/>
        <v>0.70249948636511506</v>
      </c>
      <c r="AG31" s="1">
        <f t="shared" si="14"/>
        <v>0.67147890830137347</v>
      </c>
      <c r="AH31" s="1">
        <f t="shared" si="14"/>
        <v>0.40434958765033746</v>
      </c>
      <c r="AI31" s="1">
        <f t="shared" si="14"/>
        <v>0.43442781069010966</v>
      </c>
      <c r="AJ31" s="5">
        <v>9999999</v>
      </c>
      <c r="AK31" s="1">
        <f t="shared" si="14"/>
        <v>0.47263260515195948</v>
      </c>
      <c r="AL31" s="1">
        <f t="shared" si="14"/>
        <v>0.74036303733236686</v>
      </c>
      <c r="AM31" s="1">
        <f t="shared" si="14"/>
        <v>0.91757515325612693</v>
      </c>
      <c r="AN31" s="1">
        <f t="shared" si="14"/>
        <v>7.1205630059978127</v>
      </c>
      <c r="AO31" s="1">
        <f t="shared" si="14"/>
        <v>7.6733728457621435</v>
      </c>
      <c r="AP31" s="1">
        <f t="shared" si="14"/>
        <v>8.2630394587348395</v>
      </c>
      <c r="AQ31" s="1">
        <f t="shared" si="14"/>
        <v>6.9470543785755066</v>
      </c>
      <c r="AR31" s="1">
        <f t="shared" si="14"/>
        <v>2.1801590168722171</v>
      </c>
      <c r="AS31" s="1">
        <f t="shared" si="14"/>
        <v>1.9219424482630201</v>
      </c>
      <c r="AT31" s="1">
        <f t="shared" si="14"/>
        <v>1.8271862579768834</v>
      </c>
      <c r="AU31" s="1">
        <f t="shared" si="14"/>
        <v>2.1001593613125613</v>
      </c>
      <c r="AV31" s="1">
        <f t="shared" si="14"/>
        <v>1.9023934001549447</v>
      </c>
      <c r="AW31" s="1">
        <f t="shared" si="14"/>
        <v>1.6830607265205881</v>
      </c>
      <c r="AX31" s="1">
        <f t="shared" si="14"/>
        <v>1.4163537275026794</v>
      </c>
      <c r="AY31" s="1">
        <f t="shared" si="14"/>
        <v>1.2246505095454798</v>
      </c>
      <c r="AZ31" s="1">
        <f t="shared" si="14"/>
        <v>5.8609046640787348</v>
      </c>
      <c r="BA31" s="1">
        <f t="shared" si="14"/>
        <v>5.8514791161712001</v>
      </c>
      <c r="BB31" s="1">
        <f t="shared" si="14"/>
        <v>5.9007794774849431</v>
      </c>
      <c r="BC31" s="1">
        <f t="shared" si="14"/>
        <v>5.2452040708872039</v>
      </c>
      <c r="BD31" s="1">
        <f t="shared" si="14"/>
        <v>6.4043740712146286</v>
      </c>
      <c r="BE31" s="1">
        <f t="shared" si="14"/>
        <v>5.1449387809429554</v>
      </c>
      <c r="BF31" s="1">
        <f t="shared" si="14"/>
        <v>2.7961994090848949</v>
      </c>
      <c r="BG31" s="1">
        <f t="shared" si="14"/>
        <v>2.5592494299325983</v>
      </c>
      <c r="BH31" s="1">
        <f t="shared" si="14"/>
        <v>3.7144395301650484</v>
      </c>
      <c r="BI31" s="1">
        <f t="shared" si="14"/>
        <v>2.8209670950886676</v>
      </c>
      <c r="BJ31" s="1">
        <f t="shared" si="14"/>
        <v>2.711282963732299</v>
      </c>
      <c r="BK31" s="1">
        <f t="shared" si="14"/>
        <v>2.2991306091079164</v>
      </c>
      <c r="BL31" s="1">
        <f t="shared" si="14"/>
        <v>2.8037404411638764</v>
      </c>
      <c r="BM31" s="1">
        <f t="shared" si="14"/>
        <v>2.9053851567325792</v>
      </c>
      <c r="BN31" s="1">
        <f t="shared" si="14"/>
        <v>3.7779520515907441</v>
      </c>
      <c r="BO31" s="1">
        <f t="shared" si="14"/>
        <v>14.659130596852952</v>
      </c>
      <c r="BP31" s="1">
        <f t="shared" si="14"/>
        <v>15.182543562228769</v>
      </c>
      <c r="BQ31" s="1">
        <f t="shared" si="14"/>
        <v>2.1289899851868719</v>
      </c>
      <c r="BR31" s="1">
        <f t="shared" si="14"/>
        <v>2.5253239436986177</v>
      </c>
      <c r="BS31" s="1">
        <f t="shared" si="14"/>
        <v>2.411345892648709</v>
      </c>
      <c r="BT31" s="1">
        <f t="shared" si="14"/>
        <v>1.2206421159266132</v>
      </c>
      <c r="BU31" s="1">
        <f t="shared" si="14"/>
        <v>2.2785571499753945</v>
      </c>
      <c r="BV31" s="1">
        <f t="shared" si="14"/>
        <v>2.010407051398905</v>
      </c>
      <c r="BW31" s="1">
        <f t="shared" ref="BW31:CF34" si="15">SQRT(POWER($I31-BW$4,2)+POWER(BW$5-$J31,2))</f>
        <v>1.9928605731064075</v>
      </c>
      <c r="BX31" s="1">
        <f t="shared" si="15"/>
        <v>2.0473317398134649</v>
      </c>
      <c r="BY31" s="1">
        <f t="shared" si="15"/>
        <v>1.7916194734019277</v>
      </c>
      <c r="BZ31" s="1">
        <f t="shared" si="15"/>
        <v>1.2392807170621192</v>
      </c>
      <c r="CA31" s="1">
        <f t="shared" si="15"/>
        <v>0.96554108654163651</v>
      </c>
      <c r="CB31" s="1">
        <f t="shared" si="15"/>
        <v>1.1772264027318633</v>
      </c>
      <c r="CC31" s="1">
        <f t="shared" si="15"/>
        <v>10.696636462390558</v>
      </c>
      <c r="CD31" s="1">
        <f t="shared" si="15"/>
        <v>12.344896146341501</v>
      </c>
      <c r="CE31" s="1">
        <f t="shared" si="15"/>
        <v>10.00527495276549</v>
      </c>
      <c r="CF31" s="1">
        <f t="shared" si="15"/>
        <v>9.8455956812830774</v>
      </c>
      <c r="CH31" s="1" t="s">
        <v>43</v>
      </c>
      <c r="CI31" s="1">
        <v>0</v>
      </c>
      <c r="CJ31" s="1">
        <v>0</v>
      </c>
      <c r="CK31" s="1">
        <v>0</v>
      </c>
      <c r="CL31" s="1">
        <v>0</v>
      </c>
      <c r="CM31" s="1">
        <v>1</v>
      </c>
      <c r="CN31" s="1">
        <v>0</v>
      </c>
      <c r="CO31" s="1">
        <v>0</v>
      </c>
      <c r="CP31" s="1">
        <v>0</v>
      </c>
      <c r="CQ31" s="1">
        <v>0</v>
      </c>
      <c r="CR31" s="1">
        <v>0</v>
      </c>
      <c r="CS31" s="1">
        <v>0</v>
      </c>
      <c r="CT31" s="1">
        <v>0</v>
      </c>
      <c r="CU31" s="1">
        <v>0</v>
      </c>
      <c r="CV31" s="1">
        <v>0</v>
      </c>
      <c r="CW31" s="1">
        <v>0</v>
      </c>
      <c r="CX31" s="1">
        <v>0</v>
      </c>
      <c r="CY31" s="1">
        <v>0</v>
      </c>
      <c r="CZ31" s="1">
        <v>0</v>
      </c>
      <c r="DA31" s="1">
        <v>0</v>
      </c>
      <c r="DB31" s="1">
        <v>0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  <c r="DH31" s="1">
        <v>0</v>
      </c>
      <c r="DI31" s="1">
        <v>0</v>
      </c>
      <c r="DJ31" s="1">
        <v>0</v>
      </c>
      <c r="DK31" s="1">
        <v>0</v>
      </c>
      <c r="DL31" s="1">
        <v>0</v>
      </c>
      <c r="DM31" s="1">
        <v>0</v>
      </c>
      <c r="DN31" s="1">
        <v>0</v>
      </c>
      <c r="DO31" s="1">
        <v>0</v>
      </c>
      <c r="DP31" s="1">
        <v>0</v>
      </c>
      <c r="DQ31" s="1">
        <v>0</v>
      </c>
      <c r="DR31" s="1">
        <v>0</v>
      </c>
      <c r="DS31" s="1">
        <v>0</v>
      </c>
      <c r="DT31" s="1">
        <v>0</v>
      </c>
      <c r="DU31" s="1">
        <v>0</v>
      </c>
      <c r="DV31" s="1">
        <v>0</v>
      </c>
      <c r="DW31" s="1">
        <v>0</v>
      </c>
      <c r="DX31" s="1">
        <v>0</v>
      </c>
      <c r="DY31" s="1">
        <v>0</v>
      </c>
      <c r="DZ31" s="1">
        <v>0</v>
      </c>
      <c r="EA31" s="1">
        <v>0</v>
      </c>
      <c r="EB31" s="1">
        <v>0</v>
      </c>
      <c r="EC31" s="1">
        <v>0</v>
      </c>
      <c r="ED31" s="1">
        <v>0</v>
      </c>
      <c r="EE31" s="1">
        <v>0</v>
      </c>
      <c r="EF31" s="1">
        <v>0</v>
      </c>
      <c r="EG31" s="1">
        <v>0</v>
      </c>
      <c r="EH31" s="1">
        <v>0</v>
      </c>
      <c r="EI31" s="1">
        <v>0</v>
      </c>
      <c r="EJ31" s="1">
        <v>0</v>
      </c>
      <c r="EK31" s="1">
        <v>0</v>
      </c>
      <c r="EL31" s="1">
        <v>0</v>
      </c>
      <c r="EM31" s="1">
        <v>0</v>
      </c>
      <c r="EN31" s="1">
        <v>0</v>
      </c>
      <c r="EO31" s="1">
        <v>0</v>
      </c>
      <c r="EP31" s="1">
        <v>0</v>
      </c>
      <c r="EQ31" s="1">
        <v>0</v>
      </c>
      <c r="ER31" s="1">
        <v>0</v>
      </c>
      <c r="ES31" s="1">
        <v>0</v>
      </c>
      <c r="ET31" s="1">
        <v>0</v>
      </c>
      <c r="EU31" s="1">
        <v>0</v>
      </c>
      <c r="EV31" s="1">
        <v>0</v>
      </c>
      <c r="EW31" s="1">
        <v>0</v>
      </c>
      <c r="EX31" s="1">
        <v>0</v>
      </c>
      <c r="EY31" s="1">
        <v>0</v>
      </c>
      <c r="EZ31" s="1">
        <v>0</v>
      </c>
      <c r="FA31" s="1">
        <v>0</v>
      </c>
      <c r="FB31" s="1">
        <v>0</v>
      </c>
      <c r="FC31" s="1">
        <v>0</v>
      </c>
      <c r="FD31" s="1">
        <v>0</v>
      </c>
      <c r="FE31" s="1">
        <f t="shared" si="0"/>
        <v>0</v>
      </c>
    </row>
    <row r="32" spans="5:161" ht="15.75" thickBot="1" x14ac:dyDescent="0.3">
      <c r="E32" s="1" t="s">
        <v>45</v>
      </c>
      <c r="F32" s="1">
        <v>9</v>
      </c>
      <c r="H32" s="1" t="s">
        <v>116</v>
      </c>
      <c r="I32" s="2">
        <v>33.363795799999998</v>
      </c>
      <c r="J32" s="2">
        <v>-4.72957502174763</v>
      </c>
      <c r="K32" s="1">
        <f t="shared" si="3"/>
        <v>2.9926294088034071</v>
      </c>
      <c r="L32" s="1">
        <f t="shared" ref="L32:BW35" si="16">SQRT(POWER($I32-L$4,2)+POWER(L$5-$J32,2))</f>
        <v>2.5882451987987793</v>
      </c>
      <c r="M32" s="1">
        <f t="shared" si="16"/>
        <v>2.096187947946246</v>
      </c>
      <c r="N32" s="1">
        <f t="shared" si="16"/>
        <v>2.7384541723206337</v>
      </c>
      <c r="O32" s="1">
        <f t="shared" si="16"/>
        <v>2.8641563031237744</v>
      </c>
      <c r="P32" s="1">
        <f t="shared" si="16"/>
        <v>1.6246315415856649</v>
      </c>
      <c r="Q32" s="1">
        <f t="shared" si="16"/>
        <v>2.2014193758102207</v>
      </c>
      <c r="R32" s="1">
        <f t="shared" si="16"/>
        <v>3.693973404652382</v>
      </c>
      <c r="S32" s="1">
        <f t="shared" si="16"/>
        <v>4.4206069780179558</v>
      </c>
      <c r="T32" s="1">
        <f t="shared" si="16"/>
        <v>5.3675153830507938</v>
      </c>
      <c r="U32" s="1">
        <f t="shared" si="16"/>
        <v>2.9802718146420437</v>
      </c>
      <c r="V32" s="1">
        <f t="shared" si="16"/>
        <v>5.3624615977820129</v>
      </c>
      <c r="W32" s="1">
        <f t="shared" si="16"/>
        <v>3.0167237977842793</v>
      </c>
      <c r="X32" s="1">
        <f t="shared" si="16"/>
        <v>4.6331408071113733</v>
      </c>
      <c r="Y32" s="1">
        <f t="shared" si="16"/>
        <v>3.9637970192627772</v>
      </c>
      <c r="Z32" s="1">
        <f t="shared" si="16"/>
        <v>1.4648209775093077</v>
      </c>
      <c r="AA32" s="1">
        <f t="shared" si="16"/>
        <v>3.2755875269016288</v>
      </c>
      <c r="AB32" s="1">
        <f t="shared" si="16"/>
        <v>0.6835267408496053</v>
      </c>
      <c r="AC32" s="1">
        <f t="shared" si="16"/>
        <v>2.0092847270173824</v>
      </c>
      <c r="AD32" s="1">
        <f t="shared" si="16"/>
        <v>3.2314921631869766</v>
      </c>
      <c r="AE32" s="1">
        <f t="shared" si="16"/>
        <v>0.72952008583795713</v>
      </c>
      <c r="AF32" s="1">
        <f t="shared" si="16"/>
        <v>0.96394187710178292</v>
      </c>
      <c r="AG32" s="1">
        <f t="shared" si="16"/>
        <v>0.83354559582721766</v>
      </c>
      <c r="AH32" s="1">
        <f t="shared" si="16"/>
        <v>0.41181453769833953</v>
      </c>
      <c r="AI32" s="1">
        <f t="shared" si="16"/>
        <v>0.85210061206765175</v>
      </c>
      <c r="AJ32" s="1">
        <f t="shared" si="16"/>
        <v>0.47263260515195948</v>
      </c>
      <c r="AK32" s="5">
        <v>9999999</v>
      </c>
      <c r="AL32" s="1">
        <f t="shared" si="16"/>
        <v>1.178401875381816</v>
      </c>
      <c r="AM32" s="1">
        <f t="shared" si="16"/>
        <v>1.1261513284453504</v>
      </c>
      <c r="AN32" s="1">
        <f t="shared" si="16"/>
        <v>6.8954924823704715</v>
      </c>
      <c r="AO32" s="1">
        <f t="shared" si="16"/>
        <v>7.3529996211787365</v>
      </c>
      <c r="AP32" s="1">
        <f t="shared" si="16"/>
        <v>8.0519042801965561</v>
      </c>
      <c r="AQ32" s="1">
        <f t="shared" si="16"/>
        <v>6.7448376055920569</v>
      </c>
      <c r="AR32" s="1">
        <f t="shared" si="16"/>
        <v>2.641663640233701</v>
      </c>
      <c r="AS32" s="1">
        <f t="shared" si="16"/>
        <v>2.3943238878407063</v>
      </c>
      <c r="AT32" s="1">
        <f t="shared" si="16"/>
        <v>2.2986410308262348</v>
      </c>
      <c r="AU32" s="1">
        <f t="shared" si="16"/>
        <v>2.566612334529967</v>
      </c>
      <c r="AV32" s="1">
        <f t="shared" si="16"/>
        <v>2.3194939359733522</v>
      </c>
      <c r="AW32" s="1">
        <f t="shared" si="16"/>
        <v>2.0441088468430157</v>
      </c>
      <c r="AX32" s="1">
        <f t="shared" si="16"/>
        <v>1.8873193374667776</v>
      </c>
      <c r="AY32" s="1">
        <f t="shared" si="16"/>
        <v>1.6655448161203992</v>
      </c>
      <c r="AZ32" s="1">
        <f t="shared" si="16"/>
        <v>5.6942563360092526</v>
      </c>
      <c r="BA32" s="1">
        <f t="shared" si="16"/>
        <v>5.6782386568198833</v>
      </c>
      <c r="BB32" s="1">
        <f t="shared" si="16"/>
        <v>5.6970646835135215</v>
      </c>
      <c r="BC32" s="1">
        <f t="shared" si="16"/>
        <v>5.0478209813896218</v>
      </c>
      <c r="BD32" s="1">
        <f t="shared" si="16"/>
        <v>6.2008509108111092</v>
      </c>
      <c r="BE32" s="1">
        <f t="shared" si="16"/>
        <v>4.8562748233841218</v>
      </c>
      <c r="BF32" s="1">
        <f t="shared" si="16"/>
        <v>2.8996468412957634</v>
      </c>
      <c r="BG32" s="1">
        <f t="shared" si="16"/>
        <v>2.680400065388969</v>
      </c>
      <c r="BH32" s="1">
        <f t="shared" si="16"/>
        <v>3.7730934552247293</v>
      </c>
      <c r="BI32" s="1">
        <f t="shared" si="16"/>
        <v>2.8893814658291643</v>
      </c>
      <c r="BJ32" s="1">
        <f t="shared" si="16"/>
        <v>2.7913965251977619</v>
      </c>
      <c r="BK32" s="1">
        <f t="shared" si="16"/>
        <v>2.4068034117525157</v>
      </c>
      <c r="BL32" s="1">
        <f t="shared" si="16"/>
        <v>2.8531910522556747</v>
      </c>
      <c r="BM32" s="1">
        <f t="shared" si="16"/>
        <v>2.9127987936332707</v>
      </c>
      <c r="BN32" s="1">
        <f t="shared" si="16"/>
        <v>3.762806225193132</v>
      </c>
      <c r="BO32" s="1">
        <f t="shared" si="16"/>
        <v>14.405081476201699</v>
      </c>
      <c r="BP32" s="1">
        <f t="shared" si="16"/>
        <v>14.89595584035964</v>
      </c>
      <c r="BQ32" s="1">
        <f t="shared" si="16"/>
        <v>1.9226748016089401</v>
      </c>
      <c r="BR32" s="1">
        <f t="shared" si="16"/>
        <v>2.2649161100450463</v>
      </c>
      <c r="BS32" s="1">
        <f t="shared" si="16"/>
        <v>2.2901202852749991</v>
      </c>
      <c r="BT32" s="1">
        <f t="shared" si="16"/>
        <v>1.0329309083246261</v>
      </c>
      <c r="BU32" s="1">
        <f t="shared" si="16"/>
        <v>2.2315218839152866</v>
      </c>
      <c r="BV32" s="1">
        <f t="shared" si="16"/>
        <v>2.2050861052521289</v>
      </c>
      <c r="BW32" s="1">
        <f t="shared" si="16"/>
        <v>2.1928945044818944</v>
      </c>
      <c r="BX32" s="1">
        <f t="shared" si="15"/>
        <v>2.183697438116988</v>
      </c>
      <c r="BY32" s="1">
        <f t="shared" si="15"/>
        <v>2.0491901698389361</v>
      </c>
      <c r="BZ32" s="1">
        <f t="shared" si="15"/>
        <v>1.4217396253048595</v>
      </c>
      <c r="CA32" s="1">
        <f t="shared" si="15"/>
        <v>1.3069635655507907</v>
      </c>
      <c r="CB32" s="1">
        <f t="shared" si="15"/>
        <v>1.4957927158358304</v>
      </c>
      <c r="CC32" s="1">
        <f t="shared" si="15"/>
        <v>10.498822034465196</v>
      </c>
      <c r="CD32" s="1">
        <f t="shared" si="15"/>
        <v>12.14589845023008</v>
      </c>
      <c r="CE32" s="1">
        <f t="shared" si="15"/>
        <v>9.8275702612172573</v>
      </c>
      <c r="CF32" s="1">
        <f t="shared" si="15"/>
        <v>9.5939652740067309</v>
      </c>
      <c r="CH32" s="1" t="s">
        <v>44</v>
      </c>
      <c r="CI32" s="1">
        <v>0</v>
      </c>
      <c r="CJ32" s="1">
        <v>0</v>
      </c>
      <c r="CK32" s="1">
        <v>0</v>
      </c>
      <c r="CL32" s="1">
        <v>0</v>
      </c>
      <c r="CM32" s="1">
        <v>0</v>
      </c>
      <c r="CN32" s="1">
        <v>0</v>
      </c>
      <c r="CO32" s="1">
        <v>0</v>
      </c>
      <c r="CP32" s="1">
        <v>0</v>
      </c>
      <c r="CQ32" s="1">
        <v>0</v>
      </c>
      <c r="CR32" s="1">
        <v>0</v>
      </c>
      <c r="CS32" s="1">
        <v>0</v>
      </c>
      <c r="CT32" s="1">
        <v>0</v>
      </c>
      <c r="CU32" s="1">
        <v>0</v>
      </c>
      <c r="CV32" s="1">
        <v>0</v>
      </c>
      <c r="CW32" s="1">
        <v>0</v>
      </c>
      <c r="CX32" s="1">
        <v>0</v>
      </c>
      <c r="CY32" s="1">
        <v>0</v>
      </c>
      <c r="CZ32" s="1">
        <v>0</v>
      </c>
      <c r="DA32" s="1">
        <v>0</v>
      </c>
      <c r="DB32" s="1">
        <v>0</v>
      </c>
      <c r="DC32" s="1">
        <v>0</v>
      </c>
      <c r="DD32" s="1">
        <v>0</v>
      </c>
      <c r="DE32" s="1">
        <v>0</v>
      </c>
      <c r="DF32" s="1">
        <v>0</v>
      </c>
      <c r="DG32" s="1">
        <v>0</v>
      </c>
      <c r="DH32" s="1">
        <v>0</v>
      </c>
      <c r="DI32" s="1">
        <v>0</v>
      </c>
      <c r="DJ32" s="1">
        <v>0</v>
      </c>
      <c r="DK32" s="1">
        <v>0</v>
      </c>
      <c r="DL32" s="1">
        <v>0</v>
      </c>
      <c r="DM32" s="1">
        <v>1</v>
      </c>
      <c r="DN32" s="1">
        <v>0</v>
      </c>
      <c r="DO32" s="1">
        <v>0</v>
      </c>
      <c r="DP32" s="1">
        <v>0</v>
      </c>
      <c r="DQ32" s="1">
        <v>0</v>
      </c>
      <c r="DR32" s="1">
        <v>0</v>
      </c>
      <c r="DS32" s="1">
        <v>0</v>
      </c>
      <c r="DT32" s="1">
        <v>0</v>
      </c>
      <c r="DU32" s="1">
        <v>0</v>
      </c>
      <c r="DV32" s="1">
        <v>0</v>
      </c>
      <c r="DW32" s="1">
        <v>0</v>
      </c>
      <c r="DX32" s="1">
        <v>0</v>
      </c>
      <c r="DY32" s="1">
        <v>0</v>
      </c>
      <c r="DZ32" s="1">
        <v>0</v>
      </c>
      <c r="EA32" s="1">
        <v>0</v>
      </c>
      <c r="EB32" s="1">
        <v>0</v>
      </c>
      <c r="EC32" s="1">
        <v>0</v>
      </c>
      <c r="ED32" s="1">
        <v>0</v>
      </c>
      <c r="EE32" s="1">
        <v>0</v>
      </c>
      <c r="EF32" s="1">
        <v>0</v>
      </c>
      <c r="EG32" s="1">
        <v>0</v>
      </c>
      <c r="EH32" s="1">
        <v>0</v>
      </c>
      <c r="EI32" s="1">
        <v>0</v>
      </c>
      <c r="EJ32" s="1">
        <v>0</v>
      </c>
      <c r="EK32" s="1">
        <v>0</v>
      </c>
      <c r="EL32" s="1">
        <v>0</v>
      </c>
      <c r="EM32" s="1">
        <v>0</v>
      </c>
      <c r="EN32" s="1">
        <v>0</v>
      </c>
      <c r="EO32" s="1">
        <v>0</v>
      </c>
      <c r="EP32" s="1">
        <v>0</v>
      </c>
      <c r="EQ32" s="1">
        <v>0</v>
      </c>
      <c r="ER32" s="1">
        <v>0</v>
      </c>
      <c r="ES32" s="1">
        <v>0</v>
      </c>
      <c r="ET32" s="1">
        <v>0</v>
      </c>
      <c r="EU32" s="1">
        <v>0</v>
      </c>
      <c r="EV32" s="1">
        <v>0</v>
      </c>
      <c r="EW32" s="1">
        <v>0</v>
      </c>
      <c r="EX32" s="1">
        <v>0</v>
      </c>
      <c r="EY32" s="1">
        <v>0</v>
      </c>
      <c r="EZ32" s="1">
        <v>0</v>
      </c>
      <c r="FA32" s="1">
        <v>0</v>
      </c>
      <c r="FB32" s="1">
        <v>0</v>
      </c>
      <c r="FC32" s="1">
        <v>0</v>
      </c>
      <c r="FD32" s="1">
        <v>0</v>
      </c>
      <c r="FE32" s="1">
        <f t="shared" si="0"/>
        <v>0</v>
      </c>
    </row>
    <row r="33" spans="5:161" ht="15.75" thickBot="1" x14ac:dyDescent="0.3">
      <c r="E33" s="1" t="s">
        <v>46</v>
      </c>
      <c r="F33" s="1">
        <v>10</v>
      </c>
      <c r="H33" s="1" t="s">
        <v>117</v>
      </c>
      <c r="I33" s="2">
        <v>34.538476000000003</v>
      </c>
      <c r="J33" s="2">
        <v>-4.6359940000000002</v>
      </c>
      <c r="K33" s="1">
        <f t="shared" si="3"/>
        <v>2.6029900543436963</v>
      </c>
      <c r="L33" s="1">
        <f t="shared" si="16"/>
        <v>1.8485672738416292</v>
      </c>
      <c r="M33" s="1">
        <f t="shared" si="16"/>
        <v>1.3199425326191279</v>
      </c>
      <c r="N33" s="1">
        <f t="shared" si="16"/>
        <v>2.4864853112878031</v>
      </c>
      <c r="O33" s="1">
        <f t="shared" si="16"/>
        <v>2.3390242833233561</v>
      </c>
      <c r="P33" s="1">
        <f t="shared" si="16"/>
        <v>1.3212347123811892</v>
      </c>
      <c r="Q33" s="1">
        <f t="shared" si="16"/>
        <v>2.7179695423612595</v>
      </c>
      <c r="R33" s="1">
        <f t="shared" si="16"/>
        <v>4.4415379497098009</v>
      </c>
      <c r="S33" s="1">
        <f t="shared" si="16"/>
        <v>5.0944273442174195</v>
      </c>
      <c r="T33" s="1">
        <f t="shared" si="16"/>
        <v>5.9573643641464074</v>
      </c>
      <c r="U33" s="1">
        <f t="shared" si="16"/>
        <v>3.7213069714916038</v>
      </c>
      <c r="V33" s="1">
        <f t="shared" si="16"/>
        <v>5.9529371563496394</v>
      </c>
      <c r="W33" s="1">
        <f t="shared" si="16"/>
        <v>2.5192249335540837</v>
      </c>
      <c r="X33" s="1">
        <f t="shared" si="16"/>
        <v>5.1262385993680324</v>
      </c>
      <c r="Y33" s="1">
        <f t="shared" si="16"/>
        <v>4.5209116662073825</v>
      </c>
      <c r="Z33" s="1">
        <f t="shared" si="16"/>
        <v>2.6171873254480462</v>
      </c>
      <c r="AA33" s="1">
        <f t="shared" si="16"/>
        <v>4.2740231425590123</v>
      </c>
      <c r="AB33" s="1">
        <f t="shared" si="16"/>
        <v>1.8610317606236653</v>
      </c>
      <c r="AC33" s="1">
        <f t="shared" si="16"/>
        <v>3.1471414512563656</v>
      </c>
      <c r="AD33" s="1">
        <f t="shared" si="16"/>
        <v>4.378420117520248</v>
      </c>
      <c r="AE33" s="1">
        <f t="shared" si="16"/>
        <v>0.63117999628689081</v>
      </c>
      <c r="AF33" s="1">
        <f t="shared" si="16"/>
        <v>1.10147884974758</v>
      </c>
      <c r="AG33" s="1">
        <f t="shared" si="16"/>
        <v>1.1997313502300657</v>
      </c>
      <c r="AH33" s="1">
        <f t="shared" si="16"/>
        <v>1.1153884247368733</v>
      </c>
      <c r="AI33" s="1">
        <f t="shared" si="16"/>
        <v>0.70621267090374484</v>
      </c>
      <c r="AJ33" s="1">
        <f t="shared" si="16"/>
        <v>0.74036303733236686</v>
      </c>
      <c r="AK33" s="1">
        <f t="shared" si="16"/>
        <v>1.178401875381816</v>
      </c>
      <c r="AL33" s="5">
        <v>9999999</v>
      </c>
      <c r="AM33" s="1">
        <f t="shared" si="16"/>
        <v>0.69771063568000713</v>
      </c>
      <c r="AN33" s="1">
        <f t="shared" si="16"/>
        <v>7.760008753359358</v>
      </c>
      <c r="AO33" s="1">
        <f t="shared" si="16"/>
        <v>8.3810890456634262</v>
      </c>
      <c r="AP33" s="1">
        <f t="shared" si="16"/>
        <v>8.8874836135336412</v>
      </c>
      <c r="AQ33" s="1">
        <f t="shared" si="16"/>
        <v>7.5671279897712296</v>
      </c>
      <c r="AR33" s="1">
        <f t="shared" si="16"/>
        <v>1.7021924551228671</v>
      </c>
      <c r="AS33" s="1">
        <f t="shared" si="16"/>
        <v>1.33530263619557</v>
      </c>
      <c r="AT33" s="1">
        <f t="shared" si="16"/>
        <v>1.2686471143032454</v>
      </c>
      <c r="AU33" s="1">
        <f t="shared" si="16"/>
        <v>1.5880240999043851</v>
      </c>
      <c r="AV33" s="1">
        <f t="shared" si="16"/>
        <v>1.6529889943843799</v>
      </c>
      <c r="AW33" s="1">
        <f t="shared" si="16"/>
        <v>0.99875031710032403</v>
      </c>
      <c r="AX33" s="1">
        <f t="shared" si="16"/>
        <v>0.89965459854249674</v>
      </c>
      <c r="AY33" s="1">
        <f t="shared" si="16"/>
        <v>0.97724789074318186</v>
      </c>
      <c r="AZ33" s="1">
        <f t="shared" si="16"/>
        <v>6.4528583780709088</v>
      </c>
      <c r="BA33" s="1">
        <f t="shared" si="16"/>
        <v>6.4496645772816841</v>
      </c>
      <c r="BB33" s="1">
        <f t="shared" si="16"/>
        <v>6.5261534190084776</v>
      </c>
      <c r="BC33" s="1">
        <f t="shared" si="16"/>
        <v>5.8683461481470012</v>
      </c>
      <c r="BD33" s="1">
        <f t="shared" si="16"/>
        <v>7.0275260290916242</v>
      </c>
      <c r="BE33" s="1">
        <f t="shared" si="16"/>
        <v>5.837553599676772</v>
      </c>
      <c r="BF33" s="1">
        <f t="shared" si="16"/>
        <v>3.1297803122037049</v>
      </c>
      <c r="BG33" s="1">
        <f t="shared" si="16"/>
        <v>2.8793910844170396</v>
      </c>
      <c r="BH33" s="1">
        <f t="shared" si="16"/>
        <v>4.078759413077643</v>
      </c>
      <c r="BI33" s="1">
        <f t="shared" si="16"/>
        <v>3.2001747178116697</v>
      </c>
      <c r="BJ33" s="1">
        <f t="shared" si="16"/>
        <v>3.0798493121484052</v>
      </c>
      <c r="BK33" s="1">
        <f t="shared" si="16"/>
        <v>2.6523073125453305</v>
      </c>
      <c r="BL33" s="1">
        <f t="shared" si="16"/>
        <v>3.2076252035576442</v>
      </c>
      <c r="BM33" s="1">
        <f t="shared" si="16"/>
        <v>3.3560448111385526</v>
      </c>
      <c r="BN33" s="1">
        <f t="shared" si="16"/>
        <v>4.2324897899494482</v>
      </c>
      <c r="BO33" s="1">
        <f t="shared" si="16"/>
        <v>15.313483723969778</v>
      </c>
      <c r="BP33" s="1">
        <f t="shared" si="16"/>
        <v>15.862662443019357</v>
      </c>
      <c r="BQ33" s="1">
        <f t="shared" si="16"/>
        <v>2.7943019977035441</v>
      </c>
      <c r="BR33" s="1">
        <f t="shared" si="16"/>
        <v>3.2165330665817855</v>
      </c>
      <c r="BS33" s="1">
        <f t="shared" si="16"/>
        <v>3.006203706039134</v>
      </c>
      <c r="BT33" s="1">
        <f t="shared" si="16"/>
        <v>1.9071198981602118</v>
      </c>
      <c r="BU33" s="1">
        <f t="shared" si="16"/>
        <v>2.8106834564852736</v>
      </c>
      <c r="BV33" s="1">
        <f t="shared" si="16"/>
        <v>2.2578094900702408</v>
      </c>
      <c r="BW33" s="1">
        <f t="shared" si="16"/>
        <v>2.2332515118315723</v>
      </c>
      <c r="BX33" s="1">
        <f t="shared" si="15"/>
        <v>2.3784507460740847</v>
      </c>
      <c r="BY33" s="1">
        <f t="shared" si="15"/>
        <v>1.9534731703970243</v>
      </c>
      <c r="BZ33" s="1">
        <f t="shared" si="15"/>
        <v>1.6016812495131503</v>
      </c>
      <c r="CA33" s="1">
        <f t="shared" si="15"/>
        <v>1.1198013813601047</v>
      </c>
      <c r="CB33" s="1">
        <f t="shared" si="15"/>
        <v>1.3209718584000956</v>
      </c>
      <c r="CC33" s="1">
        <f t="shared" si="15"/>
        <v>11.304256728665518</v>
      </c>
      <c r="CD33" s="1">
        <f t="shared" si="15"/>
        <v>12.951465965785623</v>
      </c>
      <c r="CE33" s="1">
        <f t="shared" si="15"/>
        <v>10.594612200418274</v>
      </c>
      <c r="CF33" s="1">
        <f t="shared" si="15"/>
        <v>10.502069716518362</v>
      </c>
      <c r="CH33" s="1" t="s">
        <v>45</v>
      </c>
      <c r="CI33" s="1">
        <v>0</v>
      </c>
      <c r="CJ33" s="1">
        <v>0</v>
      </c>
      <c r="CK33" s="1">
        <v>0</v>
      </c>
      <c r="CL33" s="1">
        <v>0</v>
      </c>
      <c r="CM33" s="1">
        <v>0</v>
      </c>
      <c r="CN33" s="1">
        <v>0</v>
      </c>
      <c r="CO33" s="1">
        <v>0</v>
      </c>
      <c r="CP33" s="1">
        <v>0</v>
      </c>
      <c r="CQ33" s="1">
        <v>0</v>
      </c>
      <c r="CR33" s="1">
        <v>0</v>
      </c>
      <c r="CS33" s="1">
        <v>0</v>
      </c>
      <c r="CT33" s="1">
        <v>0</v>
      </c>
      <c r="CU33" s="1">
        <v>0</v>
      </c>
      <c r="CV33" s="1">
        <v>0</v>
      </c>
      <c r="CW33" s="1">
        <v>0</v>
      </c>
      <c r="CX33" s="1">
        <v>0</v>
      </c>
      <c r="CY33" s="1">
        <v>0</v>
      </c>
      <c r="CZ33" s="1">
        <v>0</v>
      </c>
      <c r="DA33" s="1">
        <v>0</v>
      </c>
      <c r="DB33" s="1">
        <v>0</v>
      </c>
      <c r="DC33" s="1">
        <v>0</v>
      </c>
      <c r="DD33" s="1">
        <v>0</v>
      </c>
      <c r="DE33" s="1">
        <v>0</v>
      </c>
      <c r="DF33" s="1">
        <v>0</v>
      </c>
      <c r="DG33" s="1">
        <v>0</v>
      </c>
      <c r="DH33" s="1">
        <v>0</v>
      </c>
      <c r="DI33" s="1">
        <v>0</v>
      </c>
      <c r="DJ33" s="1">
        <v>0</v>
      </c>
      <c r="DK33" s="1">
        <v>0</v>
      </c>
      <c r="DL33" s="1">
        <v>0</v>
      </c>
      <c r="DM33" s="1">
        <v>0</v>
      </c>
      <c r="DN33" s="1">
        <v>0</v>
      </c>
      <c r="DO33" s="1">
        <v>1</v>
      </c>
      <c r="DP33" s="1">
        <v>0</v>
      </c>
      <c r="DQ33" s="1">
        <v>0</v>
      </c>
      <c r="DR33" s="1">
        <v>0</v>
      </c>
      <c r="DS33" s="1">
        <v>0</v>
      </c>
      <c r="DT33" s="1">
        <v>0</v>
      </c>
      <c r="DU33" s="1">
        <v>0</v>
      </c>
      <c r="DV33" s="1">
        <v>0</v>
      </c>
      <c r="DW33" s="1">
        <v>0</v>
      </c>
      <c r="DX33" s="1">
        <v>0</v>
      </c>
      <c r="DY33" s="1">
        <v>0</v>
      </c>
      <c r="DZ33" s="1">
        <v>0</v>
      </c>
      <c r="EA33" s="1">
        <v>0</v>
      </c>
      <c r="EB33" s="1">
        <v>0</v>
      </c>
      <c r="EC33" s="1">
        <v>0</v>
      </c>
      <c r="ED33" s="1">
        <v>0</v>
      </c>
      <c r="EE33" s="1">
        <v>0</v>
      </c>
      <c r="EF33" s="1">
        <v>0</v>
      </c>
      <c r="EG33" s="1">
        <v>0</v>
      </c>
      <c r="EH33" s="1">
        <v>0</v>
      </c>
      <c r="EI33" s="1">
        <v>0</v>
      </c>
      <c r="EJ33" s="1">
        <v>0</v>
      </c>
      <c r="EK33" s="1">
        <v>0</v>
      </c>
      <c r="EL33" s="1">
        <v>0</v>
      </c>
      <c r="EM33" s="1">
        <v>0</v>
      </c>
      <c r="EN33" s="1">
        <v>0</v>
      </c>
      <c r="EO33" s="1">
        <v>0</v>
      </c>
      <c r="EP33" s="1">
        <v>0</v>
      </c>
      <c r="EQ33" s="1">
        <v>0</v>
      </c>
      <c r="ER33" s="1">
        <v>0</v>
      </c>
      <c r="ES33" s="1">
        <v>0</v>
      </c>
      <c r="ET33" s="1">
        <v>0</v>
      </c>
      <c r="EU33" s="1">
        <v>0</v>
      </c>
      <c r="EV33" s="1">
        <v>0</v>
      </c>
      <c r="EW33" s="1">
        <v>0</v>
      </c>
      <c r="EX33" s="1">
        <v>0</v>
      </c>
      <c r="EY33" s="1">
        <v>0</v>
      </c>
      <c r="EZ33" s="1">
        <v>0</v>
      </c>
      <c r="FA33" s="1">
        <v>0</v>
      </c>
      <c r="FB33" s="1">
        <v>0</v>
      </c>
      <c r="FC33" s="1">
        <v>0</v>
      </c>
      <c r="FD33" s="1">
        <v>0</v>
      </c>
      <c r="FE33" s="1">
        <f t="shared" si="0"/>
        <v>0</v>
      </c>
    </row>
    <row r="34" spans="5:161" ht="15.75" thickBot="1" x14ac:dyDescent="0.3">
      <c r="E34" s="1" t="s">
        <v>47</v>
      </c>
      <c r="F34" s="1">
        <v>11</v>
      </c>
      <c r="H34" s="1" t="s">
        <v>118</v>
      </c>
      <c r="I34" s="2">
        <v>34.230155000000003</v>
      </c>
      <c r="J34" s="2">
        <v>-4.0101040000000001</v>
      </c>
      <c r="K34" s="1">
        <f t="shared" si="3"/>
        <v>2.0219088207165736</v>
      </c>
      <c r="L34" s="1">
        <f t="shared" si="16"/>
        <v>1.4693088220952286</v>
      </c>
      <c r="M34" s="1">
        <f t="shared" si="16"/>
        <v>0.97003680756247279</v>
      </c>
      <c r="N34" s="1">
        <f t="shared" si="16"/>
        <v>1.851870086426421</v>
      </c>
      <c r="O34" s="1">
        <f t="shared" si="16"/>
        <v>1.8193068730597204</v>
      </c>
      <c r="P34" s="1">
        <f t="shared" si="16"/>
        <v>0.65777493819846922</v>
      </c>
      <c r="Q34" s="1">
        <f t="shared" si="16"/>
        <v>2.0570603463052199</v>
      </c>
      <c r="R34" s="1">
        <f t="shared" si="16"/>
        <v>4.7555676969700205</v>
      </c>
      <c r="S34" s="1">
        <f t="shared" si="16"/>
        <v>5.4550014570753094</v>
      </c>
      <c r="T34" s="1">
        <f t="shared" si="16"/>
        <v>6.3667338786724814</v>
      </c>
      <c r="U34" s="1">
        <f t="shared" si="16"/>
        <v>4.0337930552968402</v>
      </c>
      <c r="V34" s="1">
        <f t="shared" si="16"/>
        <v>6.3619688407482267</v>
      </c>
      <c r="W34" s="1">
        <f t="shared" si="16"/>
        <v>1.9880882843120857</v>
      </c>
      <c r="X34" s="1">
        <f t="shared" si="16"/>
        <v>5.5780487385948998</v>
      </c>
      <c r="Y34" s="1">
        <f t="shared" si="16"/>
        <v>4.938539728456278</v>
      </c>
      <c r="Z34" s="1">
        <f t="shared" si="16"/>
        <v>2.3397993457770907</v>
      </c>
      <c r="AA34" s="1">
        <f t="shared" si="16"/>
        <v>4.4012043024841523</v>
      </c>
      <c r="AB34" s="1">
        <f t="shared" si="16"/>
        <v>1.7130390128987192</v>
      </c>
      <c r="AC34" s="1">
        <f t="shared" si="16"/>
        <v>3.1066632267152849</v>
      </c>
      <c r="AD34" s="1">
        <f t="shared" si="16"/>
        <v>4.3086653833437829</v>
      </c>
      <c r="AE34" s="1">
        <f t="shared" si="16"/>
        <v>1.0249073844267684</v>
      </c>
      <c r="AF34" s="1">
        <f t="shared" si="16"/>
        <v>1.5577808305773475</v>
      </c>
      <c r="AG34" s="1">
        <f t="shared" si="16"/>
        <v>1.575104103950516</v>
      </c>
      <c r="AH34" s="1">
        <f t="shared" si="16"/>
        <v>1.302939972107696</v>
      </c>
      <c r="AI34" s="1">
        <f t="shared" si="16"/>
        <v>1.1780044853607305</v>
      </c>
      <c r="AJ34" s="1">
        <f t="shared" si="16"/>
        <v>0.91757515325612693</v>
      </c>
      <c r="AK34" s="1">
        <f t="shared" si="16"/>
        <v>1.1261513284453504</v>
      </c>
      <c r="AL34" s="1">
        <f t="shared" si="16"/>
        <v>0.69771063568000713</v>
      </c>
      <c r="AM34" s="5">
        <v>9999999</v>
      </c>
      <c r="AN34" s="1">
        <f t="shared" si="16"/>
        <v>8.0042073404191161</v>
      </c>
      <c r="AO34" s="1">
        <f t="shared" si="16"/>
        <v>8.4770861992683955</v>
      </c>
      <c r="AP34" s="1">
        <f t="shared" si="16"/>
        <v>9.1543389058961555</v>
      </c>
      <c r="AQ34" s="1">
        <f t="shared" si="16"/>
        <v>7.8419429112654706</v>
      </c>
      <c r="AR34" s="1">
        <f t="shared" si="16"/>
        <v>2.3684122725573795</v>
      </c>
      <c r="AS34" s="1">
        <f t="shared" si="16"/>
        <v>1.9585881593406596</v>
      </c>
      <c r="AT34" s="1">
        <f t="shared" si="16"/>
        <v>1.9122299054603629</v>
      </c>
      <c r="AU34" s="1">
        <f t="shared" si="16"/>
        <v>2.2434513065375943</v>
      </c>
      <c r="AV34" s="1">
        <f t="shared" si="16"/>
        <v>2.3501075246716434</v>
      </c>
      <c r="AW34" s="1">
        <f t="shared" si="16"/>
        <v>1.0181005148829829</v>
      </c>
      <c r="AX34" s="1">
        <f t="shared" si="16"/>
        <v>1.5772205960720571</v>
      </c>
      <c r="AY34" s="1">
        <f t="shared" si="16"/>
        <v>1.6675976378386348</v>
      </c>
      <c r="AZ34" s="1">
        <f t="shared" si="16"/>
        <v>6.7680521557756421</v>
      </c>
      <c r="BA34" s="1">
        <f t="shared" si="16"/>
        <v>6.7566433314833869</v>
      </c>
      <c r="BB34" s="1">
        <f t="shared" si="16"/>
        <v>6.7944097910465011</v>
      </c>
      <c r="BC34" s="1">
        <f t="shared" si="16"/>
        <v>6.1410821450206594</v>
      </c>
      <c r="BD34" s="1">
        <f t="shared" si="16"/>
        <v>7.2984001802084881</v>
      </c>
      <c r="BE34" s="1">
        <f t="shared" si="16"/>
        <v>5.9817873249615152</v>
      </c>
      <c r="BF34" s="1">
        <f t="shared" si="16"/>
        <v>3.6654594727105798</v>
      </c>
      <c r="BG34" s="1">
        <f t="shared" si="16"/>
        <v>3.4212069928921189</v>
      </c>
      <c r="BH34" s="1">
        <f t="shared" si="16"/>
        <v>4.5995557423069968</v>
      </c>
      <c r="BI34" s="1">
        <f t="shared" si="16"/>
        <v>3.7077193923219163</v>
      </c>
      <c r="BJ34" s="1">
        <f t="shared" si="16"/>
        <v>3.5936564335105832</v>
      </c>
      <c r="BK34" s="1">
        <f t="shared" si="16"/>
        <v>3.1727690251379448</v>
      </c>
      <c r="BL34" s="1">
        <f t="shared" si="16"/>
        <v>3.6984744229466315</v>
      </c>
      <c r="BM34" s="1">
        <f t="shared" si="16"/>
        <v>3.8128439022248215</v>
      </c>
      <c r="BN34" s="1">
        <f t="shared" si="16"/>
        <v>4.6881497651192552</v>
      </c>
      <c r="BO34" s="1">
        <f t="shared" si="16"/>
        <v>15.525728379919968</v>
      </c>
      <c r="BP34" s="1">
        <f t="shared" si="16"/>
        <v>16.021946973391358</v>
      </c>
      <c r="BQ34" s="1">
        <f t="shared" si="16"/>
        <v>3.0142002960661092</v>
      </c>
      <c r="BR34" s="1">
        <f t="shared" si="16"/>
        <v>3.3817221764159444</v>
      </c>
      <c r="BS34" s="1">
        <f t="shared" si="16"/>
        <v>3.32418734285599</v>
      </c>
      <c r="BT34" s="1">
        <f t="shared" si="16"/>
        <v>2.1046429916247589</v>
      </c>
      <c r="BU34" s="1">
        <f t="shared" si="16"/>
        <v>3.1957868365341588</v>
      </c>
      <c r="BV34" s="1">
        <f t="shared" si="16"/>
        <v>2.8315530654247394</v>
      </c>
      <c r="BW34" s="1">
        <f t="shared" si="16"/>
        <v>2.8100269753731903</v>
      </c>
      <c r="BX34" s="1">
        <f t="shared" si="15"/>
        <v>2.9093590681811361</v>
      </c>
      <c r="BY34" s="1">
        <f t="shared" si="15"/>
        <v>2.560296310283245</v>
      </c>
      <c r="BZ34" s="1">
        <f t="shared" si="15"/>
        <v>2.1009057076473003</v>
      </c>
      <c r="CA34" s="1">
        <f t="shared" si="15"/>
        <v>1.7013341173764189</v>
      </c>
      <c r="CB34" s="1">
        <f t="shared" si="15"/>
        <v>1.9173793951458853</v>
      </c>
      <c r="CC34" s="1">
        <f t="shared" si="15"/>
        <v>11.594578101140662</v>
      </c>
      <c r="CD34" s="1">
        <f t="shared" si="15"/>
        <v>13.242624231223431</v>
      </c>
      <c r="CE34" s="1">
        <f t="shared" si="15"/>
        <v>10.910535655201789</v>
      </c>
      <c r="CF34" s="1">
        <f t="shared" si="15"/>
        <v>10.713376155761594</v>
      </c>
      <c r="CH34" s="1" t="s">
        <v>46</v>
      </c>
      <c r="CI34" s="1">
        <v>0</v>
      </c>
      <c r="CJ34" s="1">
        <v>0</v>
      </c>
      <c r="CK34" s="1">
        <v>0</v>
      </c>
      <c r="CL34" s="1">
        <v>0</v>
      </c>
      <c r="CM34" s="1">
        <v>0</v>
      </c>
      <c r="CN34" s="1">
        <v>0</v>
      </c>
      <c r="CO34" s="1">
        <v>0</v>
      </c>
      <c r="CP34" s="1">
        <v>0</v>
      </c>
      <c r="CQ34" s="1">
        <v>0</v>
      </c>
      <c r="CR34" s="1">
        <v>0</v>
      </c>
      <c r="CS34" s="1">
        <v>0</v>
      </c>
      <c r="CT34" s="1">
        <v>0</v>
      </c>
      <c r="CU34" s="1">
        <v>0</v>
      </c>
      <c r="CV34" s="1">
        <v>0</v>
      </c>
      <c r="CW34" s="1">
        <v>0</v>
      </c>
      <c r="CX34" s="1">
        <v>0</v>
      </c>
      <c r="CY34" s="1">
        <v>0</v>
      </c>
      <c r="CZ34" s="1">
        <v>0</v>
      </c>
      <c r="DA34" s="1">
        <v>0</v>
      </c>
      <c r="DB34" s="1">
        <v>0</v>
      </c>
      <c r="DC34" s="1">
        <v>0</v>
      </c>
      <c r="DD34" s="1">
        <v>0</v>
      </c>
      <c r="DE34" s="1">
        <v>0</v>
      </c>
      <c r="DF34" s="1">
        <v>0</v>
      </c>
      <c r="DG34" s="1">
        <v>0</v>
      </c>
      <c r="DH34" s="1">
        <v>0</v>
      </c>
      <c r="DI34" s="1">
        <v>0</v>
      </c>
      <c r="DJ34" s="1">
        <v>0</v>
      </c>
      <c r="DK34" s="1">
        <v>0</v>
      </c>
      <c r="DL34" s="1">
        <v>0</v>
      </c>
      <c r="DM34" s="1">
        <v>0</v>
      </c>
      <c r="DN34" s="1">
        <v>0</v>
      </c>
      <c r="DO34" s="1">
        <v>0</v>
      </c>
      <c r="DP34" s="1">
        <v>0</v>
      </c>
      <c r="DQ34" s="1">
        <v>0</v>
      </c>
      <c r="DR34" s="1">
        <v>0</v>
      </c>
      <c r="DS34" s="1">
        <v>0</v>
      </c>
      <c r="DT34" s="1">
        <v>0</v>
      </c>
      <c r="DU34" s="1">
        <v>0</v>
      </c>
      <c r="DV34" s="1">
        <v>0</v>
      </c>
      <c r="DW34" s="1">
        <v>0</v>
      </c>
      <c r="DX34" s="1">
        <v>0</v>
      </c>
      <c r="DY34" s="1">
        <v>0</v>
      </c>
      <c r="DZ34" s="1">
        <v>0</v>
      </c>
      <c r="EA34" s="1">
        <v>0</v>
      </c>
      <c r="EB34" s="1">
        <v>0</v>
      </c>
      <c r="EC34" s="1">
        <v>0</v>
      </c>
      <c r="ED34" s="1">
        <v>0</v>
      </c>
      <c r="EE34" s="1">
        <v>0</v>
      </c>
      <c r="EF34" s="1">
        <v>0</v>
      </c>
      <c r="EG34" s="1">
        <v>0</v>
      </c>
      <c r="EH34" s="1">
        <v>0</v>
      </c>
      <c r="EI34" s="1">
        <v>0</v>
      </c>
      <c r="EJ34" s="1">
        <v>0</v>
      </c>
      <c r="EK34" s="1">
        <v>0</v>
      </c>
      <c r="EL34" s="1">
        <v>0</v>
      </c>
      <c r="EM34" s="1">
        <v>0</v>
      </c>
      <c r="EN34" s="1">
        <v>0</v>
      </c>
      <c r="EO34" s="1">
        <v>0</v>
      </c>
      <c r="EP34" s="1">
        <v>0</v>
      </c>
      <c r="EQ34" s="1">
        <v>0</v>
      </c>
      <c r="ER34" s="1">
        <v>0</v>
      </c>
      <c r="ES34" s="1">
        <v>0</v>
      </c>
      <c r="ET34" s="1">
        <v>0</v>
      </c>
      <c r="EU34" s="1">
        <v>0</v>
      </c>
      <c r="EV34" s="1">
        <v>0</v>
      </c>
      <c r="EW34" s="1">
        <v>0</v>
      </c>
      <c r="EX34" s="1">
        <v>0</v>
      </c>
      <c r="EY34" s="1">
        <v>0</v>
      </c>
      <c r="EZ34" s="1">
        <v>0</v>
      </c>
      <c r="FA34" s="1">
        <v>0</v>
      </c>
      <c r="FB34" s="1">
        <v>0</v>
      </c>
      <c r="FC34" s="1">
        <v>0</v>
      </c>
      <c r="FD34" s="1">
        <v>1</v>
      </c>
      <c r="FE34" s="1">
        <f t="shared" si="0"/>
        <v>0</v>
      </c>
    </row>
    <row r="35" spans="5:161" ht="15.75" thickBot="1" x14ac:dyDescent="0.3">
      <c r="E35" s="1" t="s">
        <v>48</v>
      </c>
      <c r="F35" s="1">
        <v>6</v>
      </c>
      <c r="H35" s="1" t="s">
        <v>119</v>
      </c>
      <c r="I35" s="2">
        <v>28.986385200000001</v>
      </c>
      <c r="J35" s="2">
        <v>-10.057435099999999</v>
      </c>
      <c r="K35" s="1">
        <f t="shared" si="3"/>
        <v>9.8297488727806588</v>
      </c>
      <c r="L35" s="1">
        <f t="shared" si="16"/>
        <v>9.4734124660921797</v>
      </c>
      <c r="M35" s="1">
        <f t="shared" si="16"/>
        <v>8.9625909808486206</v>
      </c>
      <c r="N35" s="1">
        <f t="shared" si="16"/>
        <v>9.5245126568809191</v>
      </c>
      <c r="O35" s="1">
        <f t="shared" si="16"/>
        <v>9.7472786400805767</v>
      </c>
      <c r="P35" s="1">
        <f t="shared" si="16"/>
        <v>8.5092510532903294</v>
      </c>
      <c r="Q35" s="1">
        <f t="shared" si="16"/>
        <v>8.3078155190766889</v>
      </c>
      <c r="R35" s="1">
        <f t="shared" si="16"/>
        <v>3.353267769367775</v>
      </c>
      <c r="S35" s="1">
        <f t="shared" si="16"/>
        <v>2.8706738820651179</v>
      </c>
      <c r="T35" s="1">
        <f t="shared" si="16"/>
        <v>2.5430797868120343</v>
      </c>
      <c r="U35" s="1">
        <f t="shared" si="16"/>
        <v>4.0544252097685858</v>
      </c>
      <c r="V35" s="1">
        <f t="shared" si="16"/>
        <v>2.5426542022161489</v>
      </c>
      <c r="W35" s="1">
        <f t="shared" si="16"/>
        <v>9.8900922030235208</v>
      </c>
      <c r="X35" s="1">
        <f t="shared" si="16"/>
        <v>3.3813541893089187</v>
      </c>
      <c r="Y35" s="1">
        <f t="shared" si="16"/>
        <v>3.5985280966396305</v>
      </c>
      <c r="Z35" s="1">
        <f t="shared" si="16"/>
        <v>6.3467803146582753</v>
      </c>
      <c r="AA35" s="1">
        <f t="shared" si="16"/>
        <v>3.6932575056157737</v>
      </c>
      <c r="AB35" s="1">
        <f t="shared" si="16"/>
        <v>6.4746864962568509</v>
      </c>
      <c r="AC35" s="1">
        <f t="shared" si="16"/>
        <v>5.1877813378883104</v>
      </c>
      <c r="AD35" s="1">
        <f t="shared" si="16"/>
        <v>4.4284222198786836</v>
      </c>
      <c r="AE35" s="1">
        <f t="shared" si="16"/>
        <v>7.1343631644974108</v>
      </c>
      <c r="AF35" s="1">
        <f t="shared" si="16"/>
        <v>6.6784730509262067</v>
      </c>
      <c r="AG35" s="1">
        <f t="shared" si="16"/>
        <v>6.560621064522616</v>
      </c>
      <c r="AH35" s="1">
        <f t="shared" si="16"/>
        <v>6.7175475854396778</v>
      </c>
      <c r="AI35" s="1">
        <f t="shared" si="16"/>
        <v>7.0580401463902032</v>
      </c>
      <c r="AJ35" s="1">
        <f t="shared" si="16"/>
        <v>7.1205630059978127</v>
      </c>
      <c r="AK35" s="1">
        <f t="shared" si="16"/>
        <v>6.8954924823704715</v>
      </c>
      <c r="AL35" s="1">
        <f t="shared" si="16"/>
        <v>7.760008753359358</v>
      </c>
      <c r="AM35" s="1">
        <f t="shared" si="16"/>
        <v>8.0042073404191161</v>
      </c>
      <c r="AN35" s="5">
        <v>9999999</v>
      </c>
      <c r="AO35" s="1">
        <f t="shared" si="16"/>
        <v>1.8678438404717079</v>
      </c>
      <c r="AP35" s="1">
        <f t="shared" si="16"/>
        <v>1.1770192886915871</v>
      </c>
      <c r="AQ35" s="1">
        <f t="shared" si="16"/>
        <v>0.40898656378616899</v>
      </c>
      <c r="AR35" s="1">
        <f t="shared" si="16"/>
        <v>8.0135259740946019</v>
      </c>
      <c r="AS35" s="1">
        <f t="shared" si="16"/>
        <v>8.2013595417470952</v>
      </c>
      <c r="AT35" s="1">
        <f t="shared" si="16"/>
        <v>8.0794957949361077</v>
      </c>
      <c r="AU35" s="1">
        <f t="shared" si="16"/>
        <v>8.0792515989865983</v>
      </c>
      <c r="AV35" s="1">
        <f t="shared" si="16"/>
        <v>7.3345129427689075</v>
      </c>
      <c r="AW35" s="1">
        <f t="shared" si="16"/>
        <v>8.7587023996366167</v>
      </c>
      <c r="AX35" s="1">
        <f t="shared" si="16"/>
        <v>7.8162617531841674</v>
      </c>
      <c r="AY35" s="1">
        <f t="shared" si="16"/>
        <v>7.3363030737141459</v>
      </c>
      <c r="AZ35" s="1">
        <f t="shared" si="16"/>
        <v>1.5043894681644392</v>
      </c>
      <c r="BA35" s="1">
        <f t="shared" si="16"/>
        <v>1.4622858016541931</v>
      </c>
      <c r="BB35" s="1">
        <f t="shared" si="16"/>
        <v>1.2521927954858236</v>
      </c>
      <c r="BC35" s="1">
        <f t="shared" si="16"/>
        <v>1.903730882541828</v>
      </c>
      <c r="BD35" s="1">
        <f t="shared" si="16"/>
        <v>0.78336471647528072</v>
      </c>
      <c r="BE35" s="1">
        <f t="shared" si="16"/>
        <v>2.2218560810606607</v>
      </c>
      <c r="BF35" s="1">
        <f t="shared" si="16"/>
        <v>5.2130419281929363</v>
      </c>
      <c r="BG35" s="1">
        <f t="shared" si="16"/>
        <v>5.4127384561527077</v>
      </c>
      <c r="BH35" s="1">
        <f t="shared" si="16"/>
        <v>4.5237068105809568</v>
      </c>
      <c r="BI35" s="1">
        <f t="shared" si="16"/>
        <v>5.0244935351051323</v>
      </c>
      <c r="BJ35" s="1">
        <f t="shared" si="16"/>
        <v>5.1401477992012694</v>
      </c>
      <c r="BK35" s="1">
        <f t="shared" si="16"/>
        <v>5.4819791725367359</v>
      </c>
      <c r="BL35" s="1">
        <f t="shared" si="16"/>
        <v>4.9458512065207039</v>
      </c>
      <c r="BM35" s="1">
        <f t="shared" si="16"/>
        <v>4.6978813330986613</v>
      </c>
      <c r="BN35" s="1">
        <f t="shared" si="16"/>
        <v>4.0118838294363623</v>
      </c>
      <c r="BO35" s="1">
        <f t="shared" si="16"/>
        <v>7.5597723022052365</v>
      </c>
      <c r="BP35" s="1">
        <f t="shared" si="16"/>
        <v>8.188763705685778</v>
      </c>
      <c r="BQ35" s="1">
        <f t="shared" si="16"/>
        <v>4.9928122953462646</v>
      </c>
      <c r="BR35" s="1">
        <f t="shared" si="16"/>
        <v>4.6323343305775708</v>
      </c>
      <c r="BS35" s="1">
        <f t="shared" si="16"/>
        <v>4.7616522868658135</v>
      </c>
      <c r="BT35" s="1">
        <f t="shared" si="16"/>
        <v>5.9034150362153621</v>
      </c>
      <c r="BU35" s="1">
        <f t="shared" si="16"/>
        <v>5.0114173234653139</v>
      </c>
      <c r="BV35" s="1">
        <f t="shared" si="16"/>
        <v>5.9792501963140356</v>
      </c>
      <c r="BW35" s="1">
        <f t="shared" ref="BW35:CF38" si="17">SQRT(POWER($I35-BW$4,2)+POWER(BW$5-$J35,2))</f>
        <v>6.0090117046001845</v>
      </c>
      <c r="BX35" s="1">
        <f t="shared" si="17"/>
        <v>5.724801899125656</v>
      </c>
      <c r="BY35" s="1">
        <f t="shared" si="17"/>
        <v>6.326156782372709</v>
      </c>
      <c r="BZ35" s="1">
        <f t="shared" si="17"/>
        <v>6.27234051801313</v>
      </c>
      <c r="CA35" s="1">
        <f t="shared" si="17"/>
        <v>6.8077607497560804</v>
      </c>
      <c r="CB35" s="1">
        <f t="shared" si="17"/>
        <v>6.6983677482512283</v>
      </c>
      <c r="CC35" s="1">
        <f t="shared" si="17"/>
        <v>3.6335290771820228</v>
      </c>
      <c r="CD35" s="1">
        <f t="shared" si="17"/>
        <v>5.2698465086976407</v>
      </c>
      <c r="CE35" s="1">
        <f t="shared" si="17"/>
        <v>3.0524679581640055</v>
      </c>
      <c r="CF35" s="1">
        <f t="shared" si="17"/>
        <v>2.765250806616113</v>
      </c>
      <c r="CH35" s="1" t="s">
        <v>47</v>
      </c>
      <c r="CI35" s="1">
        <v>0</v>
      </c>
      <c r="CJ35" s="1">
        <v>0</v>
      </c>
      <c r="CK35" s="1">
        <v>0</v>
      </c>
      <c r="CL35" s="1">
        <v>0</v>
      </c>
      <c r="CM35" s="1">
        <v>0</v>
      </c>
      <c r="CN35" s="1">
        <v>0</v>
      </c>
      <c r="CO35" s="1">
        <v>0</v>
      </c>
      <c r="CP35" s="1">
        <v>0</v>
      </c>
      <c r="CQ35" s="1">
        <v>0</v>
      </c>
      <c r="CR35" s="1">
        <v>0</v>
      </c>
      <c r="CS35" s="1">
        <v>0</v>
      </c>
      <c r="CT35" s="1">
        <v>0</v>
      </c>
      <c r="CU35" s="1">
        <v>0</v>
      </c>
      <c r="CV35" s="1">
        <v>0</v>
      </c>
      <c r="CW35" s="1">
        <v>0</v>
      </c>
      <c r="CX35" s="1">
        <v>0</v>
      </c>
      <c r="CY35" s="1">
        <v>0</v>
      </c>
      <c r="CZ35" s="1">
        <v>0</v>
      </c>
      <c r="DA35" s="1">
        <v>0</v>
      </c>
      <c r="DB35" s="1">
        <v>0</v>
      </c>
      <c r="DC35" s="1">
        <v>0</v>
      </c>
      <c r="DD35" s="1">
        <v>0</v>
      </c>
      <c r="DE35" s="1">
        <v>0</v>
      </c>
      <c r="DF35" s="1">
        <v>0</v>
      </c>
      <c r="DG35" s="1">
        <v>0</v>
      </c>
      <c r="DH35" s="1">
        <v>0</v>
      </c>
      <c r="DI35" s="1">
        <v>0</v>
      </c>
      <c r="DJ35" s="1">
        <v>0</v>
      </c>
      <c r="DK35" s="1">
        <v>0</v>
      </c>
      <c r="DL35" s="1">
        <v>0</v>
      </c>
      <c r="DM35" s="1">
        <v>0</v>
      </c>
      <c r="DN35" s="1">
        <v>0</v>
      </c>
      <c r="DO35" s="1">
        <v>0</v>
      </c>
      <c r="DP35" s="1">
        <v>0</v>
      </c>
      <c r="DQ35" s="1">
        <v>0</v>
      </c>
      <c r="DR35" s="1">
        <v>0</v>
      </c>
      <c r="DS35" s="1">
        <v>0</v>
      </c>
      <c r="DT35" s="1">
        <v>0</v>
      </c>
      <c r="DU35" s="1">
        <v>0</v>
      </c>
      <c r="DV35" s="1">
        <v>0</v>
      </c>
      <c r="DW35" s="1">
        <v>0</v>
      </c>
      <c r="DX35" s="1">
        <v>0</v>
      </c>
      <c r="DY35" s="1">
        <v>0</v>
      </c>
      <c r="DZ35" s="1">
        <v>0</v>
      </c>
      <c r="EA35" s="1">
        <v>0</v>
      </c>
      <c r="EB35" s="1">
        <v>0</v>
      </c>
      <c r="EC35" s="1">
        <v>0</v>
      </c>
      <c r="ED35" s="1">
        <v>0</v>
      </c>
      <c r="EE35" s="1">
        <v>0</v>
      </c>
      <c r="EF35" s="1">
        <v>0</v>
      </c>
      <c r="EG35" s="1">
        <v>0</v>
      </c>
      <c r="EH35" s="1">
        <v>0</v>
      </c>
      <c r="EI35" s="1">
        <v>0</v>
      </c>
      <c r="EJ35" s="1">
        <v>0</v>
      </c>
      <c r="EK35" s="1">
        <v>0</v>
      </c>
      <c r="EL35" s="1">
        <v>0</v>
      </c>
      <c r="EM35" s="1">
        <v>0</v>
      </c>
      <c r="EN35" s="1">
        <v>0</v>
      </c>
      <c r="EO35" s="1">
        <v>0</v>
      </c>
      <c r="EP35" s="1">
        <v>0</v>
      </c>
      <c r="EQ35" s="1">
        <v>0</v>
      </c>
      <c r="ER35" s="1">
        <v>0</v>
      </c>
      <c r="ES35" s="1">
        <v>0</v>
      </c>
      <c r="ET35" s="1">
        <v>0</v>
      </c>
      <c r="EU35" s="1">
        <v>0</v>
      </c>
      <c r="EV35" s="1">
        <v>0</v>
      </c>
      <c r="EW35" s="1">
        <v>0</v>
      </c>
      <c r="EX35" s="1">
        <v>0</v>
      </c>
      <c r="EY35" s="1">
        <v>0</v>
      </c>
      <c r="EZ35" s="1">
        <v>0</v>
      </c>
      <c r="FA35" s="1">
        <v>0</v>
      </c>
      <c r="FB35" s="1">
        <v>0</v>
      </c>
      <c r="FC35" s="1">
        <v>1</v>
      </c>
      <c r="FD35" s="1">
        <v>0</v>
      </c>
      <c r="FE35" s="1">
        <f t="shared" si="0"/>
        <v>0</v>
      </c>
    </row>
    <row r="36" spans="5:161" ht="15.75" thickBot="1" x14ac:dyDescent="0.3">
      <c r="E36" s="1" t="s">
        <v>49</v>
      </c>
      <c r="F36" s="1">
        <v>12</v>
      </c>
      <c r="H36" s="1" t="s">
        <v>120</v>
      </c>
      <c r="I36" s="2">
        <v>27.413725100000001</v>
      </c>
      <c r="J36" s="2">
        <v>-9.0496748</v>
      </c>
      <c r="K36" s="1">
        <f t="shared" si="3"/>
        <v>10.090463690029996</v>
      </c>
      <c r="L36" s="1">
        <f t="shared" ref="L36:BW39" si="18">SQRT(POWER($I36-L$4,2)+POWER(L$5-$J36,2))</f>
        <v>9.9196551980234773</v>
      </c>
      <c r="M36" s="1">
        <f t="shared" si="18"/>
        <v>9.4457801969458313</v>
      </c>
      <c r="N36" s="1">
        <f t="shared" si="18"/>
        <v>9.7485301373495492</v>
      </c>
      <c r="O36" s="1">
        <f t="shared" si="18"/>
        <v>10.080000008316935</v>
      </c>
      <c r="P36" s="1">
        <f t="shared" si="18"/>
        <v>8.88036483112033</v>
      </c>
      <c r="Q36" s="1">
        <f t="shared" si="18"/>
        <v>8.3207582612616111</v>
      </c>
      <c r="R36" s="1">
        <f t="shared" si="18"/>
        <v>4.3435563089151215</v>
      </c>
      <c r="S36" s="1">
        <f t="shared" si="18"/>
        <v>4.1433484813002632</v>
      </c>
      <c r="T36" s="1">
        <f t="shared" si="18"/>
        <v>4.1616427937845124</v>
      </c>
      <c r="U36" s="1">
        <f t="shared" si="18"/>
        <v>4.9228429670225156</v>
      </c>
      <c r="V36" s="1">
        <f t="shared" si="18"/>
        <v>4.1595653671085921</v>
      </c>
      <c r="W36" s="1">
        <f t="shared" si="18"/>
        <v>10.199239210151225</v>
      </c>
      <c r="X36" s="1">
        <f t="shared" si="18"/>
        <v>4.8547233058143595</v>
      </c>
      <c r="Y36" s="1">
        <f t="shared" si="18"/>
        <v>4.8596800693216879</v>
      </c>
      <c r="Z36" s="1">
        <f t="shared" si="18"/>
        <v>6.4569512965003861</v>
      </c>
      <c r="AA36" s="1">
        <f t="shared" si="18"/>
        <v>4.1072589881493533</v>
      </c>
      <c r="AB36" s="1">
        <f t="shared" si="18"/>
        <v>6.8052546552595974</v>
      </c>
      <c r="AC36" s="1">
        <f t="shared" si="18"/>
        <v>5.4085428965869013</v>
      </c>
      <c r="AD36" s="1">
        <f t="shared" si="18"/>
        <v>4.3374633669369071</v>
      </c>
      <c r="AE36" s="1">
        <f t="shared" si="18"/>
        <v>7.7527846746480558</v>
      </c>
      <c r="AF36" s="1">
        <f t="shared" si="18"/>
        <v>7.3768569962049355</v>
      </c>
      <c r="AG36" s="1">
        <f t="shared" si="18"/>
        <v>7.2216683599873441</v>
      </c>
      <c r="AH36" s="1">
        <f t="shared" si="18"/>
        <v>7.2746817768206373</v>
      </c>
      <c r="AI36" s="1">
        <f t="shared" si="18"/>
        <v>7.7147650907078473</v>
      </c>
      <c r="AJ36" s="1">
        <f t="shared" si="18"/>
        <v>7.6733728457621435</v>
      </c>
      <c r="AK36" s="1">
        <f t="shared" si="18"/>
        <v>7.3529996211787365</v>
      </c>
      <c r="AL36" s="1">
        <f t="shared" si="18"/>
        <v>8.3810890456634262</v>
      </c>
      <c r="AM36" s="1">
        <f t="shared" si="18"/>
        <v>8.4770861992683955</v>
      </c>
      <c r="AN36" s="1">
        <f t="shared" si="18"/>
        <v>1.8678438404717079</v>
      </c>
      <c r="AO36" s="5">
        <v>9999999</v>
      </c>
      <c r="AP36" s="1">
        <f t="shared" si="18"/>
        <v>2.2905414884989637</v>
      </c>
      <c r="AQ36" s="1">
        <f t="shared" si="18"/>
        <v>2.2630580037229691</v>
      </c>
      <c r="AR36" s="1">
        <f t="shared" si="18"/>
        <v>8.9716791200158408</v>
      </c>
      <c r="AS36" s="1">
        <f t="shared" si="18"/>
        <v>9.0704659480232745</v>
      </c>
      <c r="AT36" s="1">
        <f t="shared" si="18"/>
        <v>8.9462964152199778</v>
      </c>
      <c r="AU36" s="1">
        <f t="shared" si="18"/>
        <v>9.0103133191807174</v>
      </c>
      <c r="AV36" s="1">
        <f t="shared" si="18"/>
        <v>8.3031975440065828</v>
      </c>
      <c r="AW36" s="1">
        <f t="shared" si="18"/>
        <v>9.3562715691865552</v>
      </c>
      <c r="AX36" s="1">
        <f t="shared" si="18"/>
        <v>8.6253547467071261</v>
      </c>
      <c r="AY36" s="1">
        <f t="shared" si="18"/>
        <v>8.1583247744294187</v>
      </c>
      <c r="AZ36" s="1">
        <f t="shared" si="18"/>
        <v>3.057964992874477</v>
      </c>
      <c r="BA36" s="1">
        <f t="shared" si="18"/>
        <v>2.9841211681070936</v>
      </c>
      <c r="BB36" s="1">
        <f t="shared" si="18"/>
        <v>2.6098079910762948</v>
      </c>
      <c r="BC36" s="1">
        <f t="shared" si="18"/>
        <v>3.0636735644586435</v>
      </c>
      <c r="BD36" s="1">
        <f t="shared" si="18"/>
        <v>2.3843973403579555</v>
      </c>
      <c r="BE36" s="1">
        <f t="shared" si="18"/>
        <v>2.5705807560187051</v>
      </c>
      <c r="BF36" s="1">
        <f t="shared" si="18"/>
        <v>6.3439770806669422</v>
      </c>
      <c r="BG36" s="1">
        <f t="shared" si="18"/>
        <v>6.4978222327987378</v>
      </c>
      <c r="BH36" s="1">
        <f t="shared" si="18"/>
        <v>5.8458299262448001</v>
      </c>
      <c r="BI36" s="1">
        <f t="shared" si="18"/>
        <v>6.1349106775297617</v>
      </c>
      <c r="BJ36" s="1">
        <f t="shared" si="18"/>
        <v>6.2332766499893033</v>
      </c>
      <c r="BK36" s="1">
        <f t="shared" si="18"/>
        <v>6.4954564673305146</v>
      </c>
      <c r="BL36" s="1">
        <f t="shared" si="18"/>
        <v>6.0353376141232671</v>
      </c>
      <c r="BM36" s="1">
        <f t="shared" si="18"/>
        <v>5.768674366853312</v>
      </c>
      <c r="BN36" s="1">
        <f t="shared" si="18"/>
        <v>5.2742718443948302</v>
      </c>
      <c r="BO36" s="1">
        <f t="shared" si="18"/>
        <v>7.2598167075530755</v>
      </c>
      <c r="BP36" s="1">
        <f t="shared" si="18"/>
        <v>7.5922169101133825</v>
      </c>
      <c r="BQ36" s="1">
        <f t="shared" si="18"/>
        <v>5.610815686867145</v>
      </c>
      <c r="BR36" s="1">
        <f t="shared" si="18"/>
        <v>5.1683000858053267</v>
      </c>
      <c r="BS36" s="1">
        <f t="shared" si="18"/>
        <v>5.5487837774660553</v>
      </c>
      <c r="BT36" s="1">
        <f t="shared" si="18"/>
        <v>6.4743775532151524</v>
      </c>
      <c r="BU36" s="1">
        <f t="shared" si="18"/>
        <v>5.8755321290523685</v>
      </c>
      <c r="BV36" s="1">
        <f t="shared" si="18"/>
        <v>6.9701629597438215</v>
      </c>
      <c r="BW36" s="1">
        <f t="shared" si="18"/>
        <v>6.9978925732940498</v>
      </c>
      <c r="BX36" s="1">
        <f t="shared" si="17"/>
        <v>6.6957466483185684</v>
      </c>
      <c r="BY36" s="1">
        <f t="shared" si="17"/>
        <v>7.2857412015586736</v>
      </c>
      <c r="BZ36" s="1">
        <f t="shared" si="17"/>
        <v>7.0735571822530439</v>
      </c>
      <c r="CA36" s="1">
        <f t="shared" si="17"/>
        <v>7.5866036166532576</v>
      </c>
      <c r="CB36" s="1">
        <f t="shared" si="17"/>
        <v>7.524581544995951</v>
      </c>
      <c r="CC36" s="1">
        <f t="shared" si="17"/>
        <v>4.1538131111944478</v>
      </c>
      <c r="CD36" s="1">
        <f t="shared" si="17"/>
        <v>5.5843972589570035</v>
      </c>
      <c r="CE36" s="1">
        <f t="shared" si="17"/>
        <v>3.9109060668044751</v>
      </c>
      <c r="CF36" s="1">
        <f t="shared" si="17"/>
        <v>2.7055516376748483</v>
      </c>
      <c r="CH36" s="1" t="s">
        <v>48</v>
      </c>
      <c r="CI36" s="1">
        <v>0</v>
      </c>
      <c r="CJ36" s="1">
        <v>0</v>
      </c>
      <c r="CK36" s="1">
        <v>0</v>
      </c>
      <c r="CL36" s="1">
        <v>0</v>
      </c>
      <c r="CM36" s="1">
        <v>0</v>
      </c>
      <c r="CN36" s="1">
        <v>0</v>
      </c>
      <c r="CO36" s="1">
        <v>0</v>
      </c>
      <c r="CP36" s="1">
        <v>0</v>
      </c>
      <c r="CQ36" s="1">
        <v>0</v>
      </c>
      <c r="CR36" s="1">
        <v>0</v>
      </c>
      <c r="CS36" s="1">
        <v>0</v>
      </c>
      <c r="CT36" s="1">
        <v>0</v>
      </c>
      <c r="CU36" s="1">
        <v>0</v>
      </c>
      <c r="CV36" s="1">
        <v>0</v>
      </c>
      <c r="CW36" s="1">
        <v>0</v>
      </c>
      <c r="CX36" s="1">
        <v>0</v>
      </c>
      <c r="CY36" s="1">
        <v>0</v>
      </c>
      <c r="CZ36" s="1">
        <v>0</v>
      </c>
      <c r="DA36" s="1">
        <v>0</v>
      </c>
      <c r="DB36" s="1">
        <v>0</v>
      </c>
      <c r="DC36" s="1">
        <v>0</v>
      </c>
      <c r="DD36" s="1">
        <v>0</v>
      </c>
      <c r="DE36" s="1">
        <v>0</v>
      </c>
      <c r="DF36" s="1">
        <v>0</v>
      </c>
      <c r="DG36" s="1">
        <v>0</v>
      </c>
      <c r="DH36" s="1">
        <v>0</v>
      </c>
      <c r="DI36" s="1">
        <v>0</v>
      </c>
      <c r="DJ36" s="1">
        <v>0</v>
      </c>
      <c r="DK36" s="1">
        <v>0</v>
      </c>
      <c r="DL36" s="1">
        <v>0</v>
      </c>
      <c r="DM36" s="1">
        <v>0</v>
      </c>
      <c r="DN36" s="1">
        <v>0</v>
      </c>
      <c r="DO36" s="1">
        <v>0</v>
      </c>
      <c r="DP36" s="1">
        <v>0</v>
      </c>
      <c r="DQ36" s="1">
        <v>0</v>
      </c>
      <c r="DR36" s="1">
        <v>0</v>
      </c>
      <c r="DS36" s="1">
        <v>0</v>
      </c>
      <c r="DT36" s="1">
        <v>0</v>
      </c>
      <c r="DU36" s="1">
        <v>0</v>
      </c>
      <c r="DV36" s="1">
        <v>0</v>
      </c>
      <c r="DW36" s="1">
        <v>0</v>
      </c>
      <c r="DX36" s="1">
        <v>0</v>
      </c>
      <c r="DY36" s="1">
        <v>1</v>
      </c>
      <c r="DZ36" s="1">
        <v>0</v>
      </c>
      <c r="EA36" s="1">
        <v>0</v>
      </c>
      <c r="EB36" s="1">
        <v>0</v>
      </c>
      <c r="EC36" s="1">
        <v>0</v>
      </c>
      <c r="ED36" s="1">
        <v>0</v>
      </c>
      <c r="EE36" s="1">
        <v>0</v>
      </c>
      <c r="EF36" s="1">
        <v>0</v>
      </c>
      <c r="EG36" s="1">
        <v>0</v>
      </c>
      <c r="EH36" s="1">
        <v>0</v>
      </c>
      <c r="EI36" s="1">
        <v>0</v>
      </c>
      <c r="EJ36" s="1">
        <v>0</v>
      </c>
      <c r="EK36" s="1">
        <v>0</v>
      </c>
      <c r="EL36" s="1">
        <v>0</v>
      </c>
      <c r="EM36" s="1">
        <v>0</v>
      </c>
      <c r="EN36" s="1">
        <v>0</v>
      </c>
      <c r="EO36" s="1">
        <v>0</v>
      </c>
      <c r="EP36" s="1">
        <v>0</v>
      </c>
      <c r="EQ36" s="1">
        <v>0</v>
      </c>
      <c r="ER36" s="1">
        <v>0</v>
      </c>
      <c r="ES36" s="1">
        <v>0</v>
      </c>
      <c r="ET36" s="1">
        <v>0</v>
      </c>
      <c r="EU36" s="1">
        <v>0</v>
      </c>
      <c r="EV36" s="1">
        <v>0</v>
      </c>
      <c r="EW36" s="1">
        <v>0</v>
      </c>
      <c r="EX36" s="1">
        <v>0</v>
      </c>
      <c r="EY36" s="1">
        <v>0</v>
      </c>
      <c r="EZ36" s="1">
        <v>0</v>
      </c>
      <c r="FA36" s="1">
        <v>0</v>
      </c>
      <c r="FB36" s="1">
        <v>0</v>
      </c>
      <c r="FC36" s="1">
        <v>0</v>
      </c>
      <c r="FD36" s="1">
        <v>0</v>
      </c>
      <c r="FE36" s="1">
        <f t="shared" si="0"/>
        <v>0</v>
      </c>
    </row>
    <row r="37" spans="5:161" ht="15.75" thickBot="1" x14ac:dyDescent="0.3">
      <c r="E37" s="1" t="s">
        <v>50</v>
      </c>
      <c r="F37" s="1">
        <v>14</v>
      </c>
      <c r="H37" s="1" t="s">
        <v>121</v>
      </c>
      <c r="I37" s="2">
        <v>28.437553000000001</v>
      </c>
      <c r="J37" s="2">
        <v>-11.098663999999999</v>
      </c>
      <c r="K37" s="1">
        <f t="shared" si="3"/>
        <v>10.997726740627352</v>
      </c>
      <c r="L37" s="1">
        <f t="shared" si="18"/>
        <v>10.622523216009933</v>
      </c>
      <c r="M37" s="1">
        <f t="shared" si="18"/>
        <v>10.107996319550674</v>
      </c>
      <c r="N37" s="1">
        <f t="shared" si="18"/>
        <v>10.695417715905673</v>
      </c>
      <c r="O37" s="1">
        <f t="shared" si="18"/>
        <v>10.909103965797756</v>
      </c>
      <c r="P37" s="1">
        <f t="shared" si="18"/>
        <v>9.6698846062551311</v>
      </c>
      <c r="Q37" s="1">
        <f t="shared" si="18"/>
        <v>9.4846098930808385</v>
      </c>
      <c r="R37" s="1">
        <f t="shared" si="18"/>
        <v>4.4535483561285734</v>
      </c>
      <c r="S37" s="1">
        <f t="shared" si="18"/>
        <v>3.8909550717512684</v>
      </c>
      <c r="T37" s="1">
        <f t="shared" si="18"/>
        <v>3.3509569742374681</v>
      </c>
      <c r="U37" s="1">
        <f t="shared" si="18"/>
        <v>5.1682909179868144</v>
      </c>
      <c r="V37" s="1">
        <f t="shared" si="18"/>
        <v>3.352252473488786</v>
      </c>
      <c r="W37" s="1">
        <f t="shared" si="18"/>
        <v>11.053915343750454</v>
      </c>
      <c r="X37" s="1">
        <f t="shared" si="18"/>
        <v>4.2590819919512501</v>
      </c>
      <c r="Y37" s="1">
        <f t="shared" si="18"/>
        <v>4.5921959431331967</v>
      </c>
      <c r="Z37" s="1">
        <f t="shared" si="18"/>
        <v>7.5237951993614818</v>
      </c>
      <c r="AA37" s="1">
        <f t="shared" si="18"/>
        <v>4.8683340120292682</v>
      </c>
      <c r="AB37" s="1">
        <f t="shared" si="18"/>
        <v>7.6442932104102974</v>
      </c>
      <c r="AC37" s="1">
        <f t="shared" si="18"/>
        <v>6.3644903044728549</v>
      </c>
      <c r="AD37" s="1">
        <f t="shared" si="18"/>
        <v>5.5908467621594671</v>
      </c>
      <c r="AE37" s="1">
        <f t="shared" si="18"/>
        <v>8.2658327601941082</v>
      </c>
      <c r="AF37" s="1">
        <f t="shared" si="18"/>
        <v>7.7975959227986573</v>
      </c>
      <c r="AG37" s="1">
        <f t="shared" si="18"/>
        <v>7.6879943025694795</v>
      </c>
      <c r="AH37" s="1">
        <f t="shared" si="18"/>
        <v>7.8615378788275256</v>
      </c>
      <c r="AI37" s="1">
        <f t="shared" si="18"/>
        <v>8.1828363946535063</v>
      </c>
      <c r="AJ37" s="1">
        <f t="shared" si="18"/>
        <v>8.2630394587348395</v>
      </c>
      <c r="AK37" s="1">
        <f t="shared" si="18"/>
        <v>8.0519042801965561</v>
      </c>
      <c r="AL37" s="1">
        <f t="shared" si="18"/>
        <v>8.8874836135336412</v>
      </c>
      <c r="AM37" s="1">
        <f t="shared" si="18"/>
        <v>9.1543389058961555</v>
      </c>
      <c r="AN37" s="1">
        <f t="shared" si="18"/>
        <v>1.1770192886915871</v>
      </c>
      <c r="AO37" s="1">
        <f t="shared" si="18"/>
        <v>2.2905414884989637</v>
      </c>
      <c r="AP37" s="5">
        <v>9999999</v>
      </c>
      <c r="AQ37" s="1">
        <f t="shared" si="18"/>
        <v>1.3213910433660145</v>
      </c>
      <c r="AR37" s="1">
        <f t="shared" si="18"/>
        <v>9.0507163406391662</v>
      </c>
      <c r="AS37" s="1">
        <f t="shared" si="18"/>
        <v>9.2659330144643608</v>
      </c>
      <c r="AT37" s="1">
        <f t="shared" si="18"/>
        <v>9.1456490339061727</v>
      </c>
      <c r="AU37" s="1">
        <f t="shared" si="18"/>
        <v>9.1251104946780686</v>
      </c>
      <c r="AV37" s="1">
        <f t="shared" si="18"/>
        <v>8.3741678919038307</v>
      </c>
      <c r="AW37" s="1">
        <f t="shared" si="18"/>
        <v>9.8858466306738233</v>
      </c>
      <c r="AX37" s="1">
        <f t="shared" si="18"/>
        <v>8.9007142015929119</v>
      </c>
      <c r="AY37" s="1">
        <f t="shared" si="18"/>
        <v>8.4209122654767619</v>
      </c>
      <c r="AZ37" s="1">
        <f t="shared" si="18"/>
        <v>2.4832632423132406</v>
      </c>
      <c r="BA37" s="1">
        <f t="shared" si="18"/>
        <v>2.468305305858757</v>
      </c>
      <c r="BB37" s="1">
        <f t="shared" si="18"/>
        <v>2.3627323298086154</v>
      </c>
      <c r="BC37" s="1">
        <f t="shared" si="18"/>
        <v>3.0198330514611422</v>
      </c>
      <c r="BD37" s="1">
        <f t="shared" si="18"/>
        <v>1.8601169233000496</v>
      </c>
      <c r="BE37" s="1">
        <f t="shared" si="18"/>
        <v>3.3917648986317146</v>
      </c>
      <c r="BF37" s="1">
        <f t="shared" si="18"/>
        <v>6.2205431048002007</v>
      </c>
      <c r="BG37" s="1">
        <f t="shared" si="18"/>
        <v>6.4349614571252172</v>
      </c>
      <c r="BH37" s="1">
        <f t="shared" si="18"/>
        <v>5.4547068609764393</v>
      </c>
      <c r="BI37" s="1">
        <f t="shared" si="18"/>
        <v>6.044100783263298</v>
      </c>
      <c r="BJ37" s="1">
        <f t="shared" si="18"/>
        <v>6.1642658976864393</v>
      </c>
      <c r="BK37" s="1">
        <f t="shared" si="18"/>
        <v>6.5292382073130701</v>
      </c>
      <c r="BL37" s="1">
        <f t="shared" si="18"/>
        <v>5.9751990789924978</v>
      </c>
      <c r="BM37" s="1">
        <f t="shared" si="18"/>
        <v>5.7393230708459866</v>
      </c>
      <c r="BN37" s="1">
        <f t="shared" si="18"/>
        <v>4.9903893800047845</v>
      </c>
      <c r="BO37" s="1">
        <f t="shared" si="18"/>
        <v>6.4761894745978719</v>
      </c>
      <c r="BP37" s="1">
        <f t="shared" si="18"/>
        <v>7.1912850498308405</v>
      </c>
      <c r="BQ37" s="1">
        <f t="shared" si="18"/>
        <v>6.1401914145929508</v>
      </c>
      <c r="BR37" s="1">
        <f t="shared" si="18"/>
        <v>5.7929858256564497</v>
      </c>
      <c r="BS37" s="1">
        <f t="shared" si="18"/>
        <v>5.8818535962394982</v>
      </c>
      <c r="BT37" s="1">
        <f t="shared" si="18"/>
        <v>7.050401480884501</v>
      </c>
      <c r="BU37" s="1">
        <f t="shared" si="18"/>
        <v>6.1102859091454134</v>
      </c>
      <c r="BV37" s="1">
        <f t="shared" si="18"/>
        <v>7.0268939731261213</v>
      </c>
      <c r="BW37" s="1">
        <f t="shared" si="18"/>
        <v>7.0569410463390545</v>
      </c>
      <c r="BX37" s="1">
        <f t="shared" si="17"/>
        <v>6.7826106511166406</v>
      </c>
      <c r="BY37" s="1">
        <f t="shared" si="17"/>
        <v>7.379796344297989</v>
      </c>
      <c r="BZ37" s="1">
        <f t="shared" si="17"/>
        <v>7.3717602420478219</v>
      </c>
      <c r="CA37" s="1">
        <f t="shared" si="17"/>
        <v>7.9077895517509207</v>
      </c>
      <c r="CB37" s="1">
        <f t="shared" si="17"/>
        <v>7.7873589962545058</v>
      </c>
      <c r="CC37" s="1">
        <f t="shared" si="17"/>
        <v>2.4581421710329554</v>
      </c>
      <c r="CD37" s="1">
        <f t="shared" si="17"/>
        <v>4.0987645662830072</v>
      </c>
      <c r="CE37" s="1">
        <f t="shared" si="17"/>
        <v>1.8928598122542308</v>
      </c>
      <c r="CF37" s="1">
        <f t="shared" si="17"/>
        <v>1.7911200441916253</v>
      </c>
      <c r="CH37" s="1" t="s">
        <v>49</v>
      </c>
      <c r="CI37" s="1">
        <v>0</v>
      </c>
      <c r="CJ37" s="1">
        <v>0</v>
      </c>
      <c r="CK37" s="1">
        <v>0</v>
      </c>
      <c r="CL37" s="1">
        <v>0</v>
      </c>
      <c r="CM37" s="1">
        <v>0</v>
      </c>
      <c r="CN37" s="1">
        <v>0</v>
      </c>
      <c r="CO37" s="1">
        <v>0</v>
      </c>
      <c r="CP37" s="1">
        <v>0</v>
      </c>
      <c r="CQ37" s="1">
        <v>0</v>
      </c>
      <c r="CR37" s="1">
        <v>0</v>
      </c>
      <c r="CS37" s="1">
        <v>0</v>
      </c>
      <c r="CT37" s="1">
        <v>0</v>
      </c>
      <c r="CU37" s="1">
        <v>0</v>
      </c>
      <c r="CV37" s="1">
        <v>0</v>
      </c>
      <c r="CW37" s="1">
        <v>0</v>
      </c>
      <c r="CX37" s="1">
        <v>0</v>
      </c>
      <c r="CY37" s="1">
        <v>0</v>
      </c>
      <c r="CZ37" s="1">
        <v>0</v>
      </c>
      <c r="DA37" s="1">
        <v>0</v>
      </c>
      <c r="DB37" s="1">
        <v>0</v>
      </c>
      <c r="DC37" s="1">
        <v>0</v>
      </c>
      <c r="DD37" s="1">
        <v>0</v>
      </c>
      <c r="DE37" s="1">
        <v>0</v>
      </c>
      <c r="DF37" s="1">
        <v>0</v>
      </c>
      <c r="DG37" s="1">
        <v>0</v>
      </c>
      <c r="DH37" s="1">
        <v>0</v>
      </c>
      <c r="DI37" s="1">
        <v>0</v>
      </c>
      <c r="DJ37" s="1">
        <v>0</v>
      </c>
      <c r="DK37" s="1">
        <v>0</v>
      </c>
      <c r="DL37" s="1">
        <v>0</v>
      </c>
      <c r="DM37" s="1">
        <v>0</v>
      </c>
      <c r="DN37" s="1">
        <v>0</v>
      </c>
      <c r="DO37" s="1">
        <v>0</v>
      </c>
      <c r="DP37" s="1">
        <v>0</v>
      </c>
      <c r="DQ37" s="1">
        <v>0</v>
      </c>
      <c r="DR37" s="1">
        <v>0</v>
      </c>
      <c r="DS37" s="1">
        <v>0</v>
      </c>
      <c r="DT37" s="1">
        <v>0</v>
      </c>
      <c r="DU37" s="1">
        <v>0</v>
      </c>
      <c r="DV37" s="1">
        <v>1</v>
      </c>
      <c r="DW37" s="1">
        <v>0</v>
      </c>
      <c r="DX37" s="1">
        <v>0</v>
      </c>
      <c r="DY37" s="1">
        <v>0</v>
      </c>
      <c r="DZ37" s="1">
        <v>0</v>
      </c>
      <c r="EA37" s="1">
        <v>0</v>
      </c>
      <c r="EB37" s="1">
        <v>0</v>
      </c>
      <c r="EC37" s="1">
        <v>0</v>
      </c>
      <c r="ED37" s="1">
        <v>0</v>
      </c>
      <c r="EE37" s="1">
        <v>0</v>
      </c>
      <c r="EF37" s="1">
        <v>0</v>
      </c>
      <c r="EG37" s="1">
        <v>0</v>
      </c>
      <c r="EH37" s="1">
        <v>0</v>
      </c>
      <c r="EI37" s="1">
        <v>0</v>
      </c>
      <c r="EJ37" s="1">
        <v>0</v>
      </c>
      <c r="EK37" s="1">
        <v>0</v>
      </c>
      <c r="EL37" s="1">
        <v>0</v>
      </c>
      <c r="EM37" s="1">
        <v>0</v>
      </c>
      <c r="EN37" s="1">
        <v>0</v>
      </c>
      <c r="EO37" s="1">
        <v>0</v>
      </c>
      <c r="EP37" s="1">
        <v>0</v>
      </c>
      <c r="EQ37" s="1">
        <v>0</v>
      </c>
      <c r="ER37" s="1">
        <v>0</v>
      </c>
      <c r="ES37" s="1">
        <v>0</v>
      </c>
      <c r="ET37" s="1">
        <v>0</v>
      </c>
      <c r="EU37" s="1">
        <v>0</v>
      </c>
      <c r="EV37" s="1">
        <v>0</v>
      </c>
      <c r="EW37" s="1">
        <v>0</v>
      </c>
      <c r="EX37" s="1">
        <v>0</v>
      </c>
      <c r="EY37" s="1">
        <v>0</v>
      </c>
      <c r="EZ37" s="1">
        <v>0</v>
      </c>
      <c r="FA37" s="1">
        <v>0</v>
      </c>
      <c r="FB37" s="1">
        <v>0</v>
      </c>
      <c r="FC37" s="1">
        <v>0</v>
      </c>
      <c r="FD37" s="1">
        <v>0</v>
      </c>
      <c r="FE37" s="1">
        <f t="shared" si="0"/>
        <v>0</v>
      </c>
    </row>
    <row r="38" spans="5:161" ht="15.75" thickBot="1" x14ac:dyDescent="0.3">
      <c r="E38" s="1" t="s">
        <v>51</v>
      </c>
      <c r="F38" s="1">
        <v>4</v>
      </c>
      <c r="H38" s="1" t="s">
        <v>122</v>
      </c>
      <c r="I38" s="2">
        <v>29.379125299999998</v>
      </c>
      <c r="J38" s="2">
        <v>-10.1715632</v>
      </c>
      <c r="K38" s="1">
        <f t="shared" si="3"/>
        <v>9.7035594536607235</v>
      </c>
      <c r="L38" s="1">
        <f t="shared" si="18"/>
        <v>9.3090012574140424</v>
      </c>
      <c r="M38" s="1">
        <f t="shared" si="18"/>
        <v>8.7926957708727382</v>
      </c>
      <c r="N38" s="1">
        <f t="shared" si="18"/>
        <v>9.4076694016999838</v>
      </c>
      <c r="O38" s="1">
        <f t="shared" si="18"/>
        <v>9.6059721227677066</v>
      </c>
      <c r="P38" s="1">
        <f t="shared" si="18"/>
        <v>8.365991946370837</v>
      </c>
      <c r="Q38" s="1">
        <f t="shared" si="18"/>
        <v>8.2438532173708463</v>
      </c>
      <c r="R38" s="1">
        <f t="shared" si="18"/>
        <v>3.1321786224425208</v>
      </c>
      <c r="S38" s="1">
        <f t="shared" si="18"/>
        <v>2.5870936329350362</v>
      </c>
      <c r="T38" s="1">
        <f t="shared" si="18"/>
        <v>2.1716513323840299</v>
      </c>
      <c r="U38" s="1">
        <f t="shared" si="18"/>
        <v>3.8471881838080568</v>
      </c>
      <c r="V38" s="1">
        <f t="shared" si="18"/>
        <v>2.1716558864060973</v>
      </c>
      <c r="W38" s="1">
        <f t="shared" si="18"/>
        <v>9.753216711780178</v>
      </c>
      <c r="X38" s="1">
        <f t="shared" si="18"/>
        <v>3.0354931940521008</v>
      </c>
      <c r="Y38" s="1">
        <f t="shared" si="18"/>
        <v>3.3022049772835329</v>
      </c>
      <c r="Z38" s="1">
        <f t="shared" si="18"/>
        <v>6.2786161141706973</v>
      </c>
      <c r="AA38" s="1">
        <f t="shared" si="18"/>
        <v>3.606475311136808</v>
      </c>
      <c r="AB38" s="1">
        <f t="shared" si="18"/>
        <v>6.3561830071807499</v>
      </c>
      <c r="AC38" s="1">
        <f t="shared" si="18"/>
        <v>5.1110024175363806</v>
      </c>
      <c r="AD38" s="1">
        <f t="shared" si="18"/>
        <v>4.4370781787455282</v>
      </c>
      <c r="AE38" s="1">
        <f t="shared" si="18"/>
        <v>6.946350690343384</v>
      </c>
      <c r="AF38" s="1">
        <f t="shared" si="18"/>
        <v>6.476445281508723</v>
      </c>
      <c r="AG38" s="1">
        <f t="shared" si="18"/>
        <v>6.3678442995103461</v>
      </c>
      <c r="AH38" s="1">
        <f t="shared" si="18"/>
        <v>6.5464151801576982</v>
      </c>
      <c r="AI38" s="1">
        <f t="shared" si="18"/>
        <v>6.8622033594085909</v>
      </c>
      <c r="AJ38" s="1">
        <f t="shared" si="18"/>
        <v>6.9470543785755066</v>
      </c>
      <c r="AK38" s="1">
        <f t="shared" si="18"/>
        <v>6.7448376055920569</v>
      </c>
      <c r="AL38" s="1">
        <f t="shared" si="18"/>
        <v>7.5671279897712296</v>
      </c>
      <c r="AM38" s="1">
        <f t="shared" si="18"/>
        <v>7.8419429112654706</v>
      </c>
      <c r="AN38" s="1">
        <f t="shared" si="18"/>
        <v>0.40898656378616899</v>
      </c>
      <c r="AO38" s="1">
        <f t="shared" si="18"/>
        <v>2.2630580037229691</v>
      </c>
      <c r="AP38" s="1">
        <f t="shared" si="18"/>
        <v>1.3213910433660145</v>
      </c>
      <c r="AQ38" s="5">
        <v>9999999</v>
      </c>
      <c r="AR38" s="1">
        <f t="shared" si="18"/>
        <v>7.7473016323995516</v>
      </c>
      <c r="AS38" s="1">
        <f t="shared" si="18"/>
        <v>7.9529769415652556</v>
      </c>
      <c r="AT38" s="1">
        <f t="shared" si="18"/>
        <v>7.832180125344248</v>
      </c>
      <c r="AU38" s="1">
        <f t="shared" si="18"/>
        <v>7.8184048736558669</v>
      </c>
      <c r="AV38" s="1">
        <f t="shared" si="18"/>
        <v>7.0694168584328647</v>
      </c>
      <c r="AW38" s="1">
        <f t="shared" si="18"/>
        <v>8.5653145173547216</v>
      </c>
      <c r="AX38" s="1">
        <f t="shared" si="18"/>
        <v>7.5825646985663324</v>
      </c>
      <c r="AY38" s="1">
        <f t="shared" si="18"/>
        <v>7.1026070635346947</v>
      </c>
      <c r="AZ38" s="1">
        <f t="shared" si="18"/>
        <v>1.1861860444326475</v>
      </c>
      <c r="BA38" s="1">
        <f t="shared" si="18"/>
        <v>1.1602876964365398</v>
      </c>
      <c r="BB38" s="1">
        <f t="shared" si="18"/>
        <v>1.0478585053307128</v>
      </c>
      <c r="BC38" s="1">
        <f t="shared" si="18"/>
        <v>1.701859409139008</v>
      </c>
      <c r="BD38" s="1">
        <f t="shared" si="18"/>
        <v>0.54399209061950538</v>
      </c>
      <c r="BE38" s="1">
        <f t="shared" si="18"/>
        <v>2.2323763802469556</v>
      </c>
      <c r="BF38" s="1">
        <f t="shared" si="18"/>
        <v>4.9274572651632278</v>
      </c>
      <c r="BG38" s="1">
        <f t="shared" si="18"/>
        <v>5.1356437916900939</v>
      </c>
      <c r="BH38" s="1">
        <f t="shared" si="18"/>
        <v>4.2012394199166687</v>
      </c>
      <c r="BI38" s="1">
        <f t="shared" si="18"/>
        <v>4.7453909905988532</v>
      </c>
      <c r="BJ38" s="1">
        <f t="shared" si="18"/>
        <v>4.8638165509791538</v>
      </c>
      <c r="BK38" s="1">
        <f t="shared" si="18"/>
        <v>5.2203453527482813</v>
      </c>
      <c r="BL38" s="1">
        <f t="shared" si="18"/>
        <v>4.6723735229719585</v>
      </c>
      <c r="BM38" s="1">
        <f t="shared" si="18"/>
        <v>4.4316194905604602</v>
      </c>
      <c r="BN38" s="1">
        <f t="shared" si="18"/>
        <v>3.7090385533255765</v>
      </c>
      <c r="BO38" s="1">
        <f t="shared" si="18"/>
        <v>7.7887078307043387</v>
      </c>
      <c r="BP38" s="1">
        <f t="shared" si="18"/>
        <v>8.4647719233907885</v>
      </c>
      <c r="BQ38" s="1">
        <f t="shared" si="18"/>
        <v>4.8281768504124338</v>
      </c>
      <c r="BR38" s="1">
        <f t="shared" si="18"/>
        <v>4.4931128202032218</v>
      </c>
      <c r="BS38" s="1">
        <f t="shared" si="18"/>
        <v>4.5611500797198445</v>
      </c>
      <c r="BT38" s="1">
        <f t="shared" si="18"/>
        <v>5.737329795712121</v>
      </c>
      <c r="BU38" s="1">
        <f t="shared" si="18"/>
        <v>4.7893094856580678</v>
      </c>
      <c r="BV38" s="1">
        <f t="shared" si="18"/>
        <v>5.7182871916304707</v>
      </c>
      <c r="BW38" s="1">
        <f t="shared" si="18"/>
        <v>5.7482577699136037</v>
      </c>
      <c r="BX38" s="1">
        <f t="shared" si="17"/>
        <v>5.4704638624560395</v>
      </c>
      <c r="BY38" s="1">
        <f t="shared" si="17"/>
        <v>6.0693994843437133</v>
      </c>
      <c r="BZ38" s="1">
        <f t="shared" si="17"/>
        <v>6.0509750292737223</v>
      </c>
      <c r="CA38" s="1">
        <f t="shared" si="17"/>
        <v>6.5870282246768594</v>
      </c>
      <c r="CB38" s="1">
        <f t="shared" si="17"/>
        <v>6.4680689538981682</v>
      </c>
      <c r="CC38" s="1">
        <f t="shared" si="17"/>
        <v>3.7539906167986206</v>
      </c>
      <c r="CD38" s="1">
        <f t="shared" si="17"/>
        <v>5.401365660677536</v>
      </c>
      <c r="CE38" s="1">
        <f t="shared" si="17"/>
        <v>3.106784989099832</v>
      </c>
      <c r="CF38" s="1">
        <f t="shared" si="17"/>
        <v>3.0348468153589452</v>
      </c>
      <c r="CH38" s="1" t="s">
        <v>50</v>
      </c>
      <c r="CI38" s="1">
        <v>0</v>
      </c>
      <c r="CJ38" s="1">
        <v>0</v>
      </c>
      <c r="CK38" s="1">
        <v>0</v>
      </c>
      <c r="CL38" s="1">
        <v>0</v>
      </c>
      <c r="CM38" s="1">
        <v>0</v>
      </c>
      <c r="CN38" s="1">
        <v>0</v>
      </c>
      <c r="CO38" s="1">
        <v>0</v>
      </c>
      <c r="CP38" s="1">
        <v>0</v>
      </c>
      <c r="CQ38" s="1">
        <v>0</v>
      </c>
      <c r="CR38" s="1">
        <v>0</v>
      </c>
      <c r="CS38" s="1">
        <v>0</v>
      </c>
      <c r="CT38" s="1">
        <v>0</v>
      </c>
      <c r="CU38" s="1">
        <v>0</v>
      </c>
      <c r="CV38" s="1">
        <v>0</v>
      </c>
      <c r="CW38" s="1">
        <v>0</v>
      </c>
      <c r="CX38" s="1">
        <v>0</v>
      </c>
      <c r="CY38" s="1">
        <v>0</v>
      </c>
      <c r="CZ38" s="1">
        <v>0</v>
      </c>
      <c r="DA38" s="1">
        <v>0</v>
      </c>
      <c r="DB38" s="1">
        <v>0</v>
      </c>
      <c r="DC38" s="1">
        <v>0</v>
      </c>
      <c r="DD38" s="1">
        <v>0</v>
      </c>
      <c r="DE38" s="1">
        <v>0</v>
      </c>
      <c r="DF38" s="1">
        <v>0</v>
      </c>
      <c r="DG38" s="1">
        <v>0</v>
      </c>
      <c r="DH38" s="1">
        <v>0</v>
      </c>
      <c r="DI38" s="1">
        <v>0</v>
      </c>
      <c r="DJ38" s="1">
        <v>0</v>
      </c>
      <c r="DK38" s="1">
        <v>0</v>
      </c>
      <c r="DL38" s="1">
        <v>0</v>
      </c>
      <c r="DM38" s="1">
        <v>0</v>
      </c>
      <c r="DN38" s="1">
        <v>0</v>
      </c>
      <c r="DO38" s="1">
        <v>0</v>
      </c>
      <c r="DP38" s="1">
        <v>0</v>
      </c>
      <c r="DQ38" s="1">
        <v>0</v>
      </c>
      <c r="DR38" s="1">
        <v>0</v>
      </c>
      <c r="DS38" s="1">
        <v>1</v>
      </c>
      <c r="DT38" s="1">
        <v>0</v>
      </c>
      <c r="DU38" s="1">
        <v>0</v>
      </c>
      <c r="DV38" s="1">
        <v>0</v>
      </c>
      <c r="DW38" s="1">
        <v>0</v>
      </c>
      <c r="DX38" s="1">
        <v>0</v>
      </c>
      <c r="DY38" s="1">
        <v>0</v>
      </c>
      <c r="DZ38" s="1">
        <v>0</v>
      </c>
      <c r="EA38" s="1">
        <v>0</v>
      </c>
      <c r="EB38" s="1">
        <v>0</v>
      </c>
      <c r="EC38" s="1">
        <v>0</v>
      </c>
      <c r="ED38" s="1">
        <v>0</v>
      </c>
      <c r="EE38" s="1">
        <v>0</v>
      </c>
      <c r="EF38" s="1">
        <v>0</v>
      </c>
      <c r="EG38" s="1">
        <v>0</v>
      </c>
      <c r="EH38" s="1">
        <v>0</v>
      </c>
      <c r="EI38" s="1">
        <v>0</v>
      </c>
      <c r="EJ38" s="1">
        <v>0</v>
      </c>
      <c r="EK38" s="1">
        <v>0</v>
      </c>
      <c r="EL38" s="1">
        <v>0</v>
      </c>
      <c r="EM38" s="1">
        <v>0</v>
      </c>
      <c r="EN38" s="1">
        <v>0</v>
      </c>
      <c r="EO38" s="1">
        <v>0</v>
      </c>
      <c r="EP38" s="1">
        <v>0</v>
      </c>
      <c r="EQ38" s="1">
        <v>0</v>
      </c>
      <c r="ER38" s="1">
        <v>0</v>
      </c>
      <c r="ES38" s="1">
        <v>0</v>
      </c>
      <c r="ET38" s="1">
        <v>0</v>
      </c>
      <c r="EU38" s="1">
        <v>0</v>
      </c>
      <c r="EV38" s="1">
        <v>0</v>
      </c>
      <c r="EW38" s="1">
        <v>0</v>
      </c>
      <c r="EX38" s="1">
        <v>0</v>
      </c>
      <c r="EY38" s="1">
        <v>0</v>
      </c>
      <c r="EZ38" s="1">
        <v>0</v>
      </c>
      <c r="FA38" s="1">
        <v>0</v>
      </c>
      <c r="FB38" s="1">
        <v>0</v>
      </c>
      <c r="FC38" s="1">
        <v>0</v>
      </c>
      <c r="FD38" s="1">
        <v>0</v>
      </c>
      <c r="FE38" s="1">
        <f t="shared" si="0"/>
        <v>0</v>
      </c>
    </row>
    <row r="39" spans="5:161" ht="15.75" thickBot="1" x14ac:dyDescent="0.3">
      <c r="E39" s="1" t="s">
        <v>52</v>
      </c>
      <c r="F39" s="1">
        <v>10</v>
      </c>
      <c r="H39" s="1" t="s">
        <v>123</v>
      </c>
      <c r="I39" s="2">
        <v>35.777434100000001</v>
      </c>
      <c r="J39" s="2">
        <v>-5.8032309</v>
      </c>
      <c r="K39" s="1">
        <f t="shared" si="3"/>
        <v>3.9268691517651462</v>
      </c>
      <c r="L39" s="1">
        <f t="shared" si="18"/>
        <v>2.9464284649192796</v>
      </c>
      <c r="M39" s="1">
        <f t="shared" si="18"/>
        <v>2.5415791541413033</v>
      </c>
      <c r="N39" s="1">
        <f t="shared" si="18"/>
        <v>3.9274787219847838</v>
      </c>
      <c r="O39" s="1">
        <f t="shared" si="18"/>
        <v>3.5764830312314912</v>
      </c>
      <c r="P39" s="1">
        <f t="shared" si="18"/>
        <v>2.9008800832427446</v>
      </c>
      <c r="Q39" s="1">
        <f t="shared" si="18"/>
        <v>4.4171991810959144</v>
      </c>
      <c r="R39" s="1">
        <f t="shared" si="18"/>
        <v>4.6919230422785683</v>
      </c>
      <c r="S39" s="1">
        <f t="shared" si="18"/>
        <v>5.1611230369719667</v>
      </c>
      <c r="T39" s="1">
        <f t="shared" si="18"/>
        <v>5.8227533294506957</v>
      </c>
      <c r="U39" s="1">
        <f t="shared" si="18"/>
        <v>4.0537402129371367</v>
      </c>
      <c r="V39" s="1">
        <f t="shared" si="18"/>
        <v>5.8196187414816434</v>
      </c>
      <c r="W39" s="1">
        <f t="shared" si="18"/>
        <v>3.7560640049286063</v>
      </c>
      <c r="X39" s="1">
        <f t="shared" si="18"/>
        <v>4.9074628921543617</v>
      </c>
      <c r="Y39" s="1">
        <f t="shared" si="18"/>
        <v>4.4632957784714682</v>
      </c>
      <c r="Z39" s="1">
        <f t="shared" si="18"/>
        <v>4.084645918418639</v>
      </c>
      <c r="AA39" s="1">
        <f t="shared" si="18"/>
        <v>4.9819446897704127</v>
      </c>
      <c r="AB39" s="1">
        <f t="shared" si="18"/>
        <v>3.2745423325826222</v>
      </c>
      <c r="AC39" s="1">
        <f t="shared" si="18"/>
        <v>4.2647910274845158</v>
      </c>
      <c r="AD39" s="1">
        <f t="shared" si="18"/>
        <v>5.4495045931099488</v>
      </c>
      <c r="AE39" s="1">
        <f t="shared" si="18"/>
        <v>1.912253606078276</v>
      </c>
      <c r="AF39" s="1">
        <f t="shared" si="18"/>
        <v>1.8990214268231331</v>
      </c>
      <c r="AG39" s="1">
        <f t="shared" si="18"/>
        <v>2.1017258781956065</v>
      </c>
      <c r="AH39" s="1">
        <f t="shared" si="18"/>
        <v>2.3549735640493328</v>
      </c>
      <c r="AI39" s="1">
        <f t="shared" si="18"/>
        <v>1.8014179814818154</v>
      </c>
      <c r="AJ39" s="1">
        <f t="shared" si="18"/>
        <v>2.1801590168722171</v>
      </c>
      <c r="AK39" s="1">
        <f t="shared" si="18"/>
        <v>2.641663640233701</v>
      </c>
      <c r="AL39" s="1">
        <f t="shared" si="18"/>
        <v>1.7021924551228671</v>
      </c>
      <c r="AM39" s="1">
        <f t="shared" si="18"/>
        <v>2.3684122725573795</v>
      </c>
      <c r="AN39" s="1">
        <f t="shared" si="18"/>
        <v>8.0135259740946019</v>
      </c>
      <c r="AO39" s="1">
        <f t="shared" si="18"/>
        <v>8.9716791200158408</v>
      </c>
      <c r="AP39" s="1">
        <f t="shared" si="18"/>
        <v>9.0507163406391662</v>
      </c>
      <c r="AQ39" s="1">
        <f t="shared" si="18"/>
        <v>7.7473016323995516</v>
      </c>
      <c r="AR39" s="5">
        <v>9999999</v>
      </c>
      <c r="AS39" s="1">
        <f t="shared" si="18"/>
        <v>0.48914638109622222</v>
      </c>
      <c r="AT39" s="1">
        <f t="shared" si="18"/>
        <v>0.47640032337698995</v>
      </c>
      <c r="AU39" s="1">
        <f t="shared" si="18"/>
        <v>0.15230499682090715</v>
      </c>
      <c r="AV39" s="1">
        <f t="shared" si="18"/>
        <v>0.67914360868845169</v>
      </c>
      <c r="AW39" s="1">
        <f t="shared" si="18"/>
        <v>1.9472190134342926</v>
      </c>
      <c r="AX39" s="1">
        <f t="shared" si="18"/>
        <v>0.80383693735045669</v>
      </c>
      <c r="AY39" s="1">
        <f t="shared" si="18"/>
        <v>1.0060987516942967</v>
      </c>
      <c r="AZ39" s="1">
        <f t="shared" si="18"/>
        <v>6.5681841905727065</v>
      </c>
      <c r="BA39" s="1">
        <f t="shared" si="18"/>
        <v>6.5876098582772711</v>
      </c>
      <c r="BB39" s="1">
        <f t="shared" si="18"/>
        <v>6.7637312850361671</v>
      </c>
      <c r="BC39" s="1">
        <f t="shared" si="18"/>
        <v>6.1265380956440136</v>
      </c>
      <c r="BD39" s="1">
        <f t="shared" si="18"/>
        <v>7.2375074264571495</v>
      </c>
      <c r="BE39" s="1">
        <f t="shared" si="18"/>
        <v>6.4083263014923064</v>
      </c>
      <c r="BF39" s="1">
        <f t="shared" si="18"/>
        <v>2.8400513327498742</v>
      </c>
      <c r="BG39" s="1">
        <f t="shared" si="18"/>
        <v>2.6170114428180362</v>
      </c>
      <c r="BH39" s="1">
        <f t="shared" si="18"/>
        <v>3.7074873606758563</v>
      </c>
      <c r="BI39" s="1">
        <f t="shared" si="18"/>
        <v>3.0078166373933781</v>
      </c>
      <c r="BJ39" s="1">
        <f t="shared" si="18"/>
        <v>2.8867394511192757</v>
      </c>
      <c r="BK39" s="1">
        <f t="shared" si="18"/>
        <v>2.5317817746914386</v>
      </c>
      <c r="BL39" s="1">
        <f t="shared" si="18"/>
        <v>3.0756912440236288</v>
      </c>
      <c r="BM39" s="1">
        <f t="shared" si="18"/>
        <v>3.3167751847539519</v>
      </c>
      <c r="BN39" s="1">
        <f t="shared" si="18"/>
        <v>4.0798891518994527</v>
      </c>
      <c r="BO39" s="1">
        <f t="shared" si="18"/>
        <v>15.525682203114313</v>
      </c>
      <c r="BP39" s="1">
        <f t="shared" si="18"/>
        <v>16.2022201982019</v>
      </c>
      <c r="BQ39" s="1">
        <f t="shared" si="18"/>
        <v>3.4869074827941779</v>
      </c>
      <c r="BR39" s="1">
        <f t="shared" si="18"/>
        <v>3.9575163834247356</v>
      </c>
      <c r="BS39" s="1">
        <f t="shared" si="18"/>
        <v>3.4325554638243831</v>
      </c>
      <c r="BT39" s="1">
        <f t="shared" si="18"/>
        <v>2.8448002350290884</v>
      </c>
      <c r="BU39" s="1">
        <f t="shared" si="18"/>
        <v>3.0962054636460441</v>
      </c>
      <c r="BV39" s="1">
        <f t="shared" si="18"/>
        <v>2.0353908225808883</v>
      </c>
      <c r="BW39" s="1">
        <f t="shared" ref="BW39:CF42" si="19">SQRT(POWER($I39-BW$4,2)+POWER(BW$5-$J39,2))</f>
        <v>2.0058417344065882</v>
      </c>
      <c r="BX39" s="1">
        <f t="shared" si="19"/>
        <v>2.2970939469226002</v>
      </c>
      <c r="BY39" s="1">
        <f t="shared" si="19"/>
        <v>1.6961579626616221</v>
      </c>
      <c r="BZ39" s="1">
        <f t="shared" si="19"/>
        <v>1.9656917954728379</v>
      </c>
      <c r="CA39" s="1">
        <f t="shared" si="19"/>
        <v>1.5537362149148779</v>
      </c>
      <c r="CB39" s="1">
        <f t="shared" si="19"/>
        <v>1.5226155121814635</v>
      </c>
      <c r="CC39" s="1">
        <f t="shared" si="19"/>
        <v>11.357765306144243</v>
      </c>
      <c r="CD39" s="1">
        <f t="shared" si="19"/>
        <v>12.980500752229611</v>
      </c>
      <c r="CE39" s="1">
        <f t="shared" si="19"/>
        <v>10.589758596805403</v>
      </c>
      <c r="CF39" s="1">
        <f t="shared" si="19"/>
        <v>10.774701610000978</v>
      </c>
      <c r="CH39" s="1" t="s">
        <v>51</v>
      </c>
      <c r="CI39" s="1">
        <v>0</v>
      </c>
      <c r="CJ39" s="1">
        <v>0</v>
      </c>
      <c r="CK39" s="1">
        <v>0</v>
      </c>
      <c r="CL39" s="1">
        <v>0</v>
      </c>
      <c r="CM39" s="1">
        <v>0</v>
      </c>
      <c r="CN39" s="1">
        <v>0</v>
      </c>
      <c r="CO39" s="1">
        <v>0</v>
      </c>
      <c r="CP39" s="1">
        <v>0</v>
      </c>
      <c r="CQ39" s="1">
        <v>0</v>
      </c>
      <c r="CR39" s="1">
        <v>0</v>
      </c>
      <c r="CS39" s="1">
        <v>0</v>
      </c>
      <c r="CT39" s="1">
        <v>0</v>
      </c>
      <c r="CU39" s="1">
        <v>0</v>
      </c>
      <c r="CV39" s="1">
        <v>0</v>
      </c>
      <c r="CW39" s="1">
        <v>0</v>
      </c>
      <c r="CX39" s="1">
        <v>0</v>
      </c>
      <c r="CY39" s="1">
        <v>0</v>
      </c>
      <c r="CZ39" s="1">
        <v>0</v>
      </c>
      <c r="DA39" s="1">
        <v>0</v>
      </c>
      <c r="DB39" s="1">
        <v>0</v>
      </c>
      <c r="DC39" s="1">
        <v>0</v>
      </c>
      <c r="DD39" s="1">
        <v>0</v>
      </c>
      <c r="DE39" s="1">
        <v>0</v>
      </c>
      <c r="DF39" s="1">
        <v>0</v>
      </c>
      <c r="DG39" s="1">
        <v>0</v>
      </c>
      <c r="DH39" s="1">
        <v>0</v>
      </c>
      <c r="DI39" s="1">
        <v>1</v>
      </c>
      <c r="DJ39" s="1">
        <v>0</v>
      </c>
      <c r="DK39" s="1">
        <v>0</v>
      </c>
      <c r="DL39" s="1">
        <v>0</v>
      </c>
      <c r="DM39" s="1">
        <v>0</v>
      </c>
      <c r="DN39" s="1">
        <v>0</v>
      </c>
      <c r="DO39" s="1">
        <v>0</v>
      </c>
      <c r="DP39" s="1">
        <v>0</v>
      </c>
      <c r="DQ39" s="1">
        <v>0</v>
      </c>
      <c r="DR39" s="1">
        <v>0</v>
      </c>
      <c r="DS39" s="1">
        <v>0</v>
      </c>
      <c r="DT39" s="1">
        <v>0</v>
      </c>
      <c r="DU39" s="1">
        <v>0</v>
      </c>
      <c r="DV39" s="1">
        <v>0</v>
      </c>
      <c r="DW39" s="1">
        <v>0</v>
      </c>
      <c r="DX39" s="1">
        <v>0</v>
      </c>
      <c r="DY39" s="1">
        <v>0</v>
      </c>
      <c r="DZ39" s="1">
        <v>0</v>
      </c>
      <c r="EA39" s="1">
        <v>0</v>
      </c>
      <c r="EB39" s="1">
        <v>0</v>
      </c>
      <c r="EC39" s="1">
        <v>0</v>
      </c>
      <c r="ED39" s="1">
        <v>0</v>
      </c>
      <c r="EE39" s="1">
        <v>0</v>
      </c>
      <c r="EF39" s="1">
        <v>0</v>
      </c>
      <c r="EG39" s="1">
        <v>0</v>
      </c>
      <c r="EH39" s="1">
        <v>0</v>
      </c>
      <c r="EI39" s="1">
        <v>0</v>
      </c>
      <c r="EJ39" s="1">
        <v>0</v>
      </c>
      <c r="EK39" s="1">
        <v>0</v>
      </c>
      <c r="EL39" s="1">
        <v>0</v>
      </c>
      <c r="EM39" s="1">
        <v>0</v>
      </c>
      <c r="EN39" s="1">
        <v>0</v>
      </c>
      <c r="EO39" s="1">
        <v>0</v>
      </c>
      <c r="EP39" s="1">
        <v>0</v>
      </c>
      <c r="EQ39" s="1">
        <v>0</v>
      </c>
      <c r="ER39" s="1">
        <v>0</v>
      </c>
      <c r="ES39" s="1">
        <v>0</v>
      </c>
      <c r="ET39" s="1">
        <v>0</v>
      </c>
      <c r="EU39" s="1">
        <v>0</v>
      </c>
      <c r="EV39" s="1">
        <v>0</v>
      </c>
      <c r="EW39" s="1">
        <v>0</v>
      </c>
      <c r="EX39" s="1">
        <v>0</v>
      </c>
      <c r="EY39" s="1">
        <v>0</v>
      </c>
      <c r="EZ39" s="1">
        <v>0</v>
      </c>
      <c r="FA39" s="1">
        <v>0</v>
      </c>
      <c r="FB39" s="1">
        <v>0</v>
      </c>
      <c r="FC39" s="1">
        <v>0</v>
      </c>
      <c r="FD39" s="1">
        <v>0</v>
      </c>
      <c r="FE39" s="1">
        <f t="shared" si="0"/>
        <v>0</v>
      </c>
    </row>
    <row r="40" spans="5:161" ht="15.75" thickBot="1" x14ac:dyDescent="0.3">
      <c r="E40" s="1" t="s">
        <v>53</v>
      </c>
      <c r="F40" s="1">
        <v>9</v>
      </c>
      <c r="H40" s="1" t="s">
        <v>124</v>
      </c>
      <c r="I40" s="2">
        <v>35.683359799999998</v>
      </c>
      <c r="J40" s="2">
        <v>-5.3232160999999998</v>
      </c>
      <c r="K40" s="1">
        <f t="shared" si="3"/>
        <v>3.440126530373663</v>
      </c>
      <c r="L40" s="1">
        <f t="shared" ref="L40:BW43" si="20">SQRT(POWER($I40-L$4,2)+POWER(L$5-$J40,2))</f>
        <v>2.4572825801570337</v>
      </c>
      <c r="M40" s="1">
        <f t="shared" si="20"/>
        <v>2.0572964465033348</v>
      </c>
      <c r="N40" s="1">
        <f t="shared" si="20"/>
        <v>3.4482934714037685</v>
      </c>
      <c r="O40" s="1">
        <f t="shared" si="20"/>
        <v>3.0879530239563624</v>
      </c>
      <c r="P40" s="1">
        <f t="shared" si="20"/>
        <v>2.4514213224898027</v>
      </c>
      <c r="Q40" s="1">
        <f t="shared" si="20"/>
        <v>4.0156474557373718</v>
      </c>
      <c r="R40" s="1">
        <f t="shared" si="20"/>
        <v>4.8549813713464323</v>
      </c>
      <c r="S40" s="1">
        <f t="shared" si="20"/>
        <v>5.3776051298471375</v>
      </c>
      <c r="T40" s="1">
        <f t="shared" si="20"/>
        <v>6.0948780757572889</v>
      </c>
      <c r="U40" s="1">
        <f t="shared" si="20"/>
        <v>4.1846161678838882</v>
      </c>
      <c r="V40" s="1">
        <f t="shared" si="20"/>
        <v>6.0914104185755313</v>
      </c>
      <c r="W40" s="1">
        <f t="shared" si="20"/>
        <v>3.2672904723076348</v>
      </c>
      <c r="X40" s="1">
        <f t="shared" si="20"/>
        <v>5.1915260682991677</v>
      </c>
      <c r="Y40" s="1">
        <f t="shared" si="20"/>
        <v>4.7027568643660329</v>
      </c>
      <c r="Z40" s="1">
        <f t="shared" si="20"/>
        <v>3.8581227299381986</v>
      </c>
      <c r="AA40" s="1">
        <f t="shared" si="20"/>
        <v>5.0208137950863927</v>
      </c>
      <c r="AB40" s="1">
        <f t="shared" si="20"/>
        <v>3.0591415543234759</v>
      </c>
      <c r="AC40" s="1">
        <f t="shared" si="20"/>
        <v>4.1672214226271258</v>
      </c>
      <c r="AD40" s="1">
        <f t="shared" si="20"/>
        <v>5.3799275516162322</v>
      </c>
      <c r="AE40" s="1">
        <f t="shared" si="20"/>
        <v>1.6770498570266754</v>
      </c>
      <c r="AF40" s="1">
        <f t="shared" si="20"/>
        <v>1.797652344941699</v>
      </c>
      <c r="AG40" s="1">
        <f t="shared" si="20"/>
        <v>1.9918455574987846</v>
      </c>
      <c r="AH40" s="1">
        <f t="shared" si="20"/>
        <v>2.1665299198830921</v>
      </c>
      <c r="AI40" s="1">
        <f t="shared" si="20"/>
        <v>1.6023556540370305</v>
      </c>
      <c r="AJ40" s="1">
        <f t="shared" si="20"/>
        <v>1.9219424482630201</v>
      </c>
      <c r="AK40" s="1">
        <f t="shared" si="20"/>
        <v>2.3943238878407063</v>
      </c>
      <c r="AL40" s="1">
        <f t="shared" si="20"/>
        <v>1.33530263619557</v>
      </c>
      <c r="AM40" s="1">
        <f t="shared" si="20"/>
        <v>1.9585881593406596</v>
      </c>
      <c r="AN40" s="1">
        <f t="shared" si="20"/>
        <v>8.2013595417470952</v>
      </c>
      <c r="AO40" s="1">
        <f t="shared" si="20"/>
        <v>9.0704659480232745</v>
      </c>
      <c r="AP40" s="1">
        <f t="shared" si="20"/>
        <v>9.2659330144643608</v>
      </c>
      <c r="AQ40" s="1">
        <f t="shared" si="20"/>
        <v>7.9529769415652556</v>
      </c>
      <c r="AR40" s="1">
        <f t="shared" si="20"/>
        <v>0.48914638109622222</v>
      </c>
      <c r="AS40" s="5">
        <v>9999999</v>
      </c>
      <c r="AT40" s="1">
        <f t="shared" si="20"/>
        <v>0.12416954430652399</v>
      </c>
      <c r="AU40" s="1">
        <f t="shared" si="20"/>
        <v>0.33740658582558225</v>
      </c>
      <c r="AV40" s="1">
        <f t="shared" si="20"/>
        <v>0.96263441223759494</v>
      </c>
      <c r="AW40" s="1">
        <f t="shared" si="20"/>
        <v>1.4603397689317534</v>
      </c>
      <c r="AX40" s="1">
        <f t="shared" si="20"/>
        <v>0.5153838347463352</v>
      </c>
      <c r="AY40" s="1">
        <f t="shared" si="20"/>
        <v>0.92262171047588493</v>
      </c>
      <c r="AZ40" s="1">
        <f t="shared" si="20"/>
        <v>6.7839336721448005</v>
      </c>
      <c r="BA40" s="1">
        <f t="shared" si="20"/>
        <v>6.7977197744436006</v>
      </c>
      <c r="BB40" s="1">
        <f t="shared" si="20"/>
        <v>6.9491677111571102</v>
      </c>
      <c r="BC40" s="1">
        <f t="shared" si="20"/>
        <v>6.3021228240507332</v>
      </c>
      <c r="BD40" s="1">
        <f t="shared" si="20"/>
        <v>7.4329067777336473</v>
      </c>
      <c r="BE40" s="1">
        <f t="shared" si="20"/>
        <v>6.5000739532375951</v>
      </c>
      <c r="BF40" s="1">
        <f t="shared" si="20"/>
        <v>3.1046129946472294</v>
      </c>
      <c r="BG40" s="1">
        <f t="shared" si="20"/>
        <v>2.8668911829635002</v>
      </c>
      <c r="BH40" s="1">
        <f t="shared" si="20"/>
        <v>4.0119212081696798</v>
      </c>
      <c r="BI40" s="1">
        <f t="shared" si="20"/>
        <v>3.2524083534407895</v>
      </c>
      <c r="BJ40" s="1">
        <f t="shared" si="20"/>
        <v>3.1278447893027934</v>
      </c>
      <c r="BK40" s="1">
        <f t="shared" si="20"/>
        <v>2.7403883298327893</v>
      </c>
      <c r="BL40" s="1">
        <f t="shared" si="20"/>
        <v>3.3066273870430569</v>
      </c>
      <c r="BM40" s="1">
        <f t="shared" si="20"/>
        <v>3.530179441820859</v>
      </c>
      <c r="BN40" s="1">
        <f t="shared" si="20"/>
        <v>4.3373609719218775</v>
      </c>
      <c r="BO40" s="1">
        <f t="shared" si="20"/>
        <v>15.741156826236285</v>
      </c>
      <c r="BP40" s="1">
        <f t="shared" si="20"/>
        <v>16.38503008611724</v>
      </c>
      <c r="BQ40" s="1">
        <f t="shared" si="20"/>
        <v>3.5040067354900226</v>
      </c>
      <c r="BR40" s="1">
        <f t="shared" si="20"/>
        <v>3.9711382906022261</v>
      </c>
      <c r="BS40" s="1">
        <f t="shared" si="20"/>
        <v>3.523659482644844</v>
      </c>
      <c r="BT40" s="1">
        <f t="shared" si="20"/>
        <v>2.7693422580028804</v>
      </c>
      <c r="BU40" s="1">
        <f t="shared" si="20"/>
        <v>3.2161219134297183</v>
      </c>
      <c r="BV40" s="1">
        <f t="shared" si="20"/>
        <v>2.2453185536571971</v>
      </c>
      <c r="BW40" s="1">
        <f t="shared" si="20"/>
        <v>2.215191613809842</v>
      </c>
      <c r="BX40" s="1">
        <f t="shared" si="19"/>
        <v>2.4833522169456912</v>
      </c>
      <c r="BY40" s="1">
        <f t="shared" si="19"/>
        <v>1.8888769233071931</v>
      </c>
      <c r="BZ40" s="1">
        <f t="shared" si="19"/>
        <v>1.9988653095051325</v>
      </c>
      <c r="CA40" s="1">
        <f t="shared" si="19"/>
        <v>1.5077831507896733</v>
      </c>
      <c r="CB40" s="1">
        <f t="shared" si="19"/>
        <v>1.546337935734891</v>
      </c>
      <c r="CC40" s="1">
        <f t="shared" si="19"/>
        <v>11.606567096714722</v>
      </c>
      <c r="CD40" s="1">
        <f t="shared" si="19"/>
        <v>13.238213117032739</v>
      </c>
      <c r="CE40" s="1">
        <f t="shared" si="19"/>
        <v>10.851026427232938</v>
      </c>
      <c r="CF40" s="1">
        <f t="shared" si="19"/>
        <v>10.966555994730308</v>
      </c>
      <c r="CH40" s="1" t="s">
        <v>52</v>
      </c>
      <c r="CI40" s="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>
        <v>0</v>
      </c>
      <c r="CR40" s="1">
        <v>0</v>
      </c>
      <c r="CS40" s="1">
        <v>0</v>
      </c>
      <c r="CT40" s="1">
        <v>0</v>
      </c>
      <c r="CU40" s="1">
        <v>0</v>
      </c>
      <c r="CV40" s="1">
        <v>0</v>
      </c>
      <c r="CW40" s="1">
        <v>0</v>
      </c>
      <c r="CX40" s="1">
        <v>0</v>
      </c>
      <c r="CY40" s="1">
        <v>0</v>
      </c>
      <c r="CZ40" s="1">
        <v>0</v>
      </c>
      <c r="DA40" s="1">
        <v>0</v>
      </c>
      <c r="DB40" s="1">
        <v>0</v>
      </c>
      <c r="DC40" s="1">
        <v>0</v>
      </c>
      <c r="DD40" s="1">
        <v>0</v>
      </c>
      <c r="DE40" s="1">
        <v>0</v>
      </c>
      <c r="DF40" s="1">
        <v>0</v>
      </c>
      <c r="DG40" s="1">
        <v>0</v>
      </c>
      <c r="DH40" s="1">
        <v>0</v>
      </c>
      <c r="DI40" s="1">
        <v>0</v>
      </c>
      <c r="DJ40" s="1">
        <v>0</v>
      </c>
      <c r="DK40" s="1">
        <v>0</v>
      </c>
      <c r="DL40" s="1">
        <v>0</v>
      </c>
      <c r="DM40" s="1">
        <v>0</v>
      </c>
      <c r="DN40" s="1">
        <v>0</v>
      </c>
      <c r="DO40" s="1">
        <v>0</v>
      </c>
      <c r="DP40" s="1">
        <v>1</v>
      </c>
      <c r="DQ40" s="1">
        <v>0</v>
      </c>
      <c r="DR40" s="1">
        <v>0</v>
      </c>
      <c r="DS40" s="1">
        <v>0</v>
      </c>
      <c r="DT40" s="1">
        <v>0</v>
      </c>
      <c r="DU40" s="1">
        <v>0</v>
      </c>
      <c r="DV40" s="1">
        <v>0</v>
      </c>
      <c r="DW40" s="1">
        <v>0</v>
      </c>
      <c r="DX40" s="1">
        <v>0</v>
      </c>
      <c r="DY40" s="1">
        <v>0</v>
      </c>
      <c r="DZ40" s="1">
        <v>0</v>
      </c>
      <c r="EA40" s="1">
        <v>0</v>
      </c>
      <c r="EB40" s="1">
        <v>0</v>
      </c>
      <c r="EC40" s="1">
        <v>0</v>
      </c>
      <c r="ED40" s="1">
        <v>0</v>
      </c>
      <c r="EE40" s="1">
        <v>0</v>
      </c>
      <c r="EF40" s="1">
        <v>0</v>
      </c>
      <c r="EG40" s="1">
        <v>0</v>
      </c>
      <c r="EH40" s="1">
        <v>0</v>
      </c>
      <c r="EI40" s="1">
        <v>0</v>
      </c>
      <c r="EJ40" s="1">
        <v>0</v>
      </c>
      <c r="EK40" s="1">
        <v>0</v>
      </c>
      <c r="EL40" s="1">
        <v>0</v>
      </c>
      <c r="EM40" s="1">
        <v>0</v>
      </c>
      <c r="EN40" s="1">
        <v>0</v>
      </c>
      <c r="EO40" s="1">
        <v>0</v>
      </c>
      <c r="EP40" s="1">
        <v>0</v>
      </c>
      <c r="EQ40" s="1">
        <v>0</v>
      </c>
      <c r="ER40" s="1">
        <v>0</v>
      </c>
      <c r="ES40" s="1">
        <v>0</v>
      </c>
      <c r="ET40" s="1">
        <v>0</v>
      </c>
      <c r="EU40" s="1">
        <v>0</v>
      </c>
      <c r="EV40" s="1">
        <v>0</v>
      </c>
      <c r="EW40" s="1">
        <v>0</v>
      </c>
      <c r="EX40" s="1">
        <v>0</v>
      </c>
      <c r="EY40" s="1">
        <v>0</v>
      </c>
      <c r="EZ40" s="1">
        <v>0</v>
      </c>
      <c r="FA40" s="1">
        <v>0</v>
      </c>
      <c r="FB40" s="1">
        <v>0</v>
      </c>
      <c r="FC40" s="1">
        <v>0</v>
      </c>
      <c r="FD40" s="1">
        <v>0</v>
      </c>
      <c r="FE40" s="1">
        <f t="shared" si="0"/>
        <v>0</v>
      </c>
    </row>
    <row r="41" spans="5:161" ht="15.75" thickBot="1" x14ac:dyDescent="0.3">
      <c r="E41" s="1" t="s">
        <v>54</v>
      </c>
      <c r="F41" s="1">
        <v>13</v>
      </c>
      <c r="H41" s="1" t="s">
        <v>125</v>
      </c>
      <c r="I41" s="2">
        <v>35.570174999999999</v>
      </c>
      <c r="J41" s="2">
        <v>-5.3742776000000001</v>
      </c>
      <c r="K41" s="1">
        <f t="shared" si="3"/>
        <v>3.457714788030807</v>
      </c>
      <c r="L41" s="1">
        <f t="shared" si="20"/>
        <v>2.4883746562993285</v>
      </c>
      <c r="M41" s="1">
        <f t="shared" si="20"/>
        <v>2.070096126061725</v>
      </c>
      <c r="N41" s="1">
        <f t="shared" si="20"/>
        <v>3.4523062576628343</v>
      </c>
      <c r="O41" s="1">
        <f t="shared" si="20"/>
        <v>3.1121243909406089</v>
      </c>
      <c r="P41" s="1">
        <f t="shared" si="20"/>
        <v>2.4282005497371437</v>
      </c>
      <c r="Q41" s="1">
        <f t="shared" si="20"/>
        <v>3.9676186693416331</v>
      </c>
      <c r="R41" s="1">
        <f t="shared" si="20"/>
        <v>4.7323889897231313</v>
      </c>
      <c r="S41" s="1">
        <f t="shared" si="20"/>
        <v>5.2580185113944635</v>
      </c>
      <c r="T41" s="1">
        <f t="shared" si="20"/>
        <v>5.9803842077657778</v>
      </c>
      <c r="U41" s="1">
        <f t="shared" si="20"/>
        <v>4.0610529140033069</v>
      </c>
      <c r="V41" s="1">
        <f t="shared" si="20"/>
        <v>5.9768787716517133</v>
      </c>
      <c r="W41" s="1">
        <f t="shared" si="20"/>
        <v>3.2928056738971678</v>
      </c>
      <c r="X41" s="1">
        <f t="shared" si="20"/>
        <v>5.0788322228223057</v>
      </c>
      <c r="Y41" s="1">
        <f t="shared" si="20"/>
        <v>4.5853512319478806</v>
      </c>
      <c r="Z41" s="1">
        <f t="shared" si="20"/>
        <v>3.7605155856831112</v>
      </c>
      <c r="AA41" s="1">
        <f t="shared" si="20"/>
        <v>4.8973065746045688</v>
      </c>
      <c r="AB41" s="1">
        <f t="shared" si="20"/>
        <v>2.9586389802137685</v>
      </c>
      <c r="AC41" s="1">
        <f t="shared" si="20"/>
        <v>4.0518834110238116</v>
      </c>
      <c r="AD41" s="1">
        <f t="shared" si="20"/>
        <v>5.262534793729154</v>
      </c>
      <c r="AE41" s="1">
        <f t="shared" si="20"/>
        <v>1.5767217418718962</v>
      </c>
      <c r="AF41" s="1">
        <f t="shared" si="20"/>
        <v>1.6797225486078355</v>
      </c>
      <c r="AG41" s="1">
        <f t="shared" si="20"/>
        <v>1.8751766187051571</v>
      </c>
      <c r="AH41" s="1">
        <f t="shared" si="20"/>
        <v>2.0599299959717445</v>
      </c>
      <c r="AI41" s="1">
        <f t="shared" si="20"/>
        <v>1.4954543412032857</v>
      </c>
      <c r="AJ41" s="1">
        <f t="shared" si="20"/>
        <v>1.8271862579768834</v>
      </c>
      <c r="AK41" s="1">
        <f t="shared" si="20"/>
        <v>2.2986410308262348</v>
      </c>
      <c r="AL41" s="1">
        <f t="shared" si="20"/>
        <v>1.2686471143032454</v>
      </c>
      <c r="AM41" s="1">
        <f t="shared" si="20"/>
        <v>1.9122299054603629</v>
      </c>
      <c r="AN41" s="1">
        <f t="shared" si="20"/>
        <v>8.0794957949361077</v>
      </c>
      <c r="AO41" s="1">
        <f t="shared" si="20"/>
        <v>8.9462964152199778</v>
      </c>
      <c r="AP41" s="1">
        <f t="shared" si="20"/>
        <v>9.1456490339061727</v>
      </c>
      <c r="AQ41" s="1">
        <f t="shared" si="20"/>
        <v>7.832180125344248</v>
      </c>
      <c r="AR41" s="1">
        <f t="shared" si="20"/>
        <v>0.47640032337698995</v>
      </c>
      <c r="AS41" s="1">
        <f t="shared" si="20"/>
        <v>0.12416954430652399</v>
      </c>
      <c r="AT41" s="5">
        <v>9999999</v>
      </c>
      <c r="AU41" s="1">
        <f t="shared" si="20"/>
        <v>0.33582583791440029</v>
      </c>
      <c r="AV41" s="1">
        <f t="shared" si="20"/>
        <v>0.86420762231216774</v>
      </c>
      <c r="AW41" s="1">
        <f t="shared" si="20"/>
        <v>1.4802247136538287</v>
      </c>
      <c r="AX41" s="1">
        <f t="shared" si="20"/>
        <v>0.41182881968686119</v>
      </c>
      <c r="AY41" s="1">
        <f t="shared" si="20"/>
        <v>0.79992457914553372</v>
      </c>
      <c r="AZ41" s="1">
        <f t="shared" si="20"/>
        <v>6.6639863426143426</v>
      </c>
      <c r="BA41" s="1">
        <f t="shared" si="20"/>
        <v>6.6773714523516521</v>
      </c>
      <c r="BB41" s="1">
        <f t="shared" si="20"/>
        <v>6.8273053556136691</v>
      </c>
      <c r="BC41" s="1">
        <f t="shared" si="20"/>
        <v>6.1798518970715266</v>
      </c>
      <c r="BD41" s="1">
        <f t="shared" si="20"/>
        <v>7.3115384243137376</v>
      </c>
      <c r="BE41" s="1">
        <f t="shared" si="20"/>
        <v>6.3759056818106421</v>
      </c>
      <c r="BF41" s="1">
        <f t="shared" si="20"/>
        <v>2.9910920183259138</v>
      </c>
      <c r="BG41" s="1">
        <f t="shared" si="20"/>
        <v>2.7520121757778346</v>
      </c>
      <c r="BH41" s="1">
        <f t="shared" si="20"/>
        <v>3.9028110608269206</v>
      </c>
      <c r="BI41" s="1">
        <f t="shared" si="20"/>
        <v>3.1364953167994596</v>
      </c>
      <c r="BJ41" s="1">
        <f t="shared" si="20"/>
        <v>3.0117098798107613</v>
      </c>
      <c r="BK41" s="1">
        <f t="shared" si="20"/>
        <v>2.6217461731370757</v>
      </c>
      <c r="BL41" s="1">
        <f t="shared" si="20"/>
        <v>3.1893225665942553</v>
      </c>
      <c r="BM41" s="1">
        <f t="shared" si="20"/>
        <v>3.4111809700859239</v>
      </c>
      <c r="BN41" s="1">
        <f t="shared" si="20"/>
        <v>4.2219606288790548</v>
      </c>
      <c r="BO41" s="1">
        <f t="shared" si="20"/>
        <v>15.620571087500679</v>
      </c>
      <c r="BP41" s="1">
        <f t="shared" si="20"/>
        <v>16.262593765414675</v>
      </c>
      <c r="BQ41" s="1">
        <f t="shared" si="20"/>
        <v>3.3808479552944641</v>
      </c>
      <c r="BR41" s="1">
        <f t="shared" si="20"/>
        <v>3.8482362478640306</v>
      </c>
      <c r="BS41" s="1">
        <f t="shared" si="20"/>
        <v>3.3995326824950696</v>
      </c>
      <c r="BT41" s="1">
        <f t="shared" si="20"/>
        <v>2.6509102797246999</v>
      </c>
      <c r="BU41" s="1">
        <f t="shared" si="20"/>
        <v>3.0924974261035603</v>
      </c>
      <c r="BV41" s="1">
        <f t="shared" si="20"/>
        <v>2.1275773949387031</v>
      </c>
      <c r="BW41" s="1">
        <f t="shared" si="20"/>
        <v>2.0974620191336868</v>
      </c>
      <c r="BX41" s="1">
        <f t="shared" si="19"/>
        <v>2.3633514330712524</v>
      </c>
      <c r="BY41" s="1">
        <f t="shared" si="19"/>
        <v>1.7705255311965877</v>
      </c>
      <c r="BZ41" s="1">
        <f t="shared" si="19"/>
        <v>1.8747990319324261</v>
      </c>
      <c r="CA41" s="1">
        <f t="shared" si="19"/>
        <v>1.3854145366026545</v>
      </c>
      <c r="CB41" s="1">
        <f t="shared" si="19"/>
        <v>1.4222025246828092</v>
      </c>
      <c r="CC41" s="1">
        <f t="shared" si="19"/>
        <v>11.488830042771074</v>
      </c>
      <c r="CD41" s="1">
        <f t="shared" si="19"/>
        <v>13.121234469033581</v>
      </c>
      <c r="CE41" s="1">
        <f t="shared" si="19"/>
        <v>10.734572291961648</v>
      </c>
      <c r="CF41" s="1">
        <f t="shared" si="19"/>
        <v>10.84472733951789</v>
      </c>
      <c r="CH41" s="1" t="s">
        <v>53</v>
      </c>
      <c r="CI41" s="1">
        <v>0</v>
      </c>
      <c r="CJ41" s="1">
        <v>0</v>
      </c>
      <c r="CK41" s="1">
        <v>0</v>
      </c>
      <c r="CL41" s="1">
        <v>0</v>
      </c>
      <c r="CM41" s="1">
        <v>0</v>
      </c>
      <c r="CN41" s="1">
        <v>0</v>
      </c>
      <c r="CO41" s="1">
        <v>0</v>
      </c>
      <c r="CP41" s="1">
        <v>0</v>
      </c>
      <c r="CQ41" s="1">
        <v>0</v>
      </c>
      <c r="CR41" s="1">
        <v>0</v>
      </c>
      <c r="CS41" s="1">
        <v>0</v>
      </c>
      <c r="CT41" s="1">
        <v>0</v>
      </c>
      <c r="CU41" s="1">
        <v>0</v>
      </c>
      <c r="CV41" s="1">
        <v>0</v>
      </c>
      <c r="CW41" s="1">
        <v>0</v>
      </c>
      <c r="CX41" s="1">
        <v>0</v>
      </c>
      <c r="CY41" s="1">
        <v>0</v>
      </c>
      <c r="CZ41" s="1">
        <v>0</v>
      </c>
      <c r="DA41" s="1">
        <v>0</v>
      </c>
      <c r="DB41" s="1">
        <v>0</v>
      </c>
      <c r="DC41" s="1">
        <v>0</v>
      </c>
      <c r="DD41" s="1">
        <v>0</v>
      </c>
      <c r="DE41" s="1">
        <v>0</v>
      </c>
      <c r="DF41" s="1">
        <v>0</v>
      </c>
      <c r="DG41" s="1">
        <v>0</v>
      </c>
      <c r="DH41" s="1">
        <v>0</v>
      </c>
      <c r="DI41" s="1">
        <v>0</v>
      </c>
      <c r="DJ41" s="1">
        <v>0</v>
      </c>
      <c r="DK41" s="1">
        <v>0</v>
      </c>
      <c r="DL41" s="1">
        <v>0</v>
      </c>
      <c r="DM41" s="1">
        <v>0</v>
      </c>
      <c r="DN41" s="1">
        <v>0</v>
      </c>
      <c r="DO41" s="1">
        <v>0</v>
      </c>
      <c r="DP41" s="1">
        <v>0</v>
      </c>
      <c r="DQ41" s="1">
        <v>0</v>
      </c>
      <c r="DR41" s="1">
        <v>1</v>
      </c>
      <c r="DS41" s="1">
        <v>0</v>
      </c>
      <c r="DT41" s="1">
        <v>0</v>
      </c>
      <c r="DU41" s="1">
        <v>0</v>
      </c>
      <c r="DV41" s="1">
        <v>0</v>
      </c>
      <c r="DW41" s="1">
        <v>0</v>
      </c>
      <c r="DX41" s="1">
        <v>0</v>
      </c>
      <c r="DY41" s="1">
        <v>0</v>
      </c>
      <c r="DZ41" s="1">
        <v>0</v>
      </c>
      <c r="EA41" s="1">
        <v>0</v>
      </c>
      <c r="EB41" s="1">
        <v>0</v>
      </c>
      <c r="EC41" s="1">
        <v>0</v>
      </c>
      <c r="ED41" s="1">
        <v>0</v>
      </c>
      <c r="EE41" s="1">
        <v>0</v>
      </c>
      <c r="EF41" s="1">
        <v>0</v>
      </c>
      <c r="EG41" s="1">
        <v>0</v>
      </c>
      <c r="EH41" s="1">
        <v>0</v>
      </c>
      <c r="EI41" s="1">
        <v>0</v>
      </c>
      <c r="EJ41" s="1">
        <v>0</v>
      </c>
      <c r="EK41" s="1">
        <v>0</v>
      </c>
      <c r="EL41" s="1">
        <v>0</v>
      </c>
      <c r="EM41" s="1">
        <v>0</v>
      </c>
      <c r="EN41" s="1">
        <v>0</v>
      </c>
      <c r="EO41" s="1">
        <v>0</v>
      </c>
      <c r="EP41" s="1">
        <v>0</v>
      </c>
      <c r="EQ41" s="1">
        <v>0</v>
      </c>
      <c r="ER41" s="1">
        <v>0</v>
      </c>
      <c r="ES41" s="1">
        <v>0</v>
      </c>
      <c r="ET41" s="1">
        <v>0</v>
      </c>
      <c r="EU41" s="1">
        <v>0</v>
      </c>
      <c r="EV41" s="1">
        <v>0</v>
      </c>
      <c r="EW41" s="1">
        <v>0</v>
      </c>
      <c r="EX41" s="1">
        <v>0</v>
      </c>
      <c r="EY41" s="1">
        <v>0</v>
      </c>
      <c r="EZ41" s="1">
        <v>0</v>
      </c>
      <c r="FA41" s="1">
        <v>0</v>
      </c>
      <c r="FB41" s="1">
        <v>0</v>
      </c>
      <c r="FC41" s="1">
        <v>0</v>
      </c>
      <c r="FD41" s="1">
        <v>0</v>
      </c>
      <c r="FE41" s="1">
        <f t="shared" si="0"/>
        <v>0</v>
      </c>
    </row>
    <row r="42" spans="5:161" ht="15.75" thickBot="1" x14ac:dyDescent="0.3">
      <c r="E42" s="1" t="s">
        <v>55</v>
      </c>
      <c r="F42" s="1">
        <v>7</v>
      </c>
      <c r="H42" s="1" t="s">
        <v>126</v>
      </c>
      <c r="I42" s="2">
        <v>35.758900050000001</v>
      </c>
      <c r="J42" s="2">
        <v>-5.6520578169223104</v>
      </c>
      <c r="K42" s="1">
        <f t="shared" si="3"/>
        <v>3.7766985421197572</v>
      </c>
      <c r="L42" s="1">
        <f t="shared" si="20"/>
        <v>2.7945492809061578</v>
      </c>
      <c r="M42" s="1">
        <f t="shared" si="20"/>
        <v>2.3924509108251981</v>
      </c>
      <c r="N42" s="1">
        <f t="shared" si="20"/>
        <v>3.7805273929169512</v>
      </c>
      <c r="O42" s="1">
        <f t="shared" si="20"/>
        <v>3.4252875581193631</v>
      </c>
      <c r="P42" s="1">
        <f t="shared" si="20"/>
        <v>2.7640118817807502</v>
      </c>
      <c r="Q42" s="1">
        <f t="shared" si="20"/>
        <v>4.2966500372518999</v>
      </c>
      <c r="R42" s="1">
        <f t="shared" si="20"/>
        <v>4.7480895038045112</v>
      </c>
      <c r="S42" s="1">
        <f t="shared" si="20"/>
        <v>5.2342526374806715</v>
      </c>
      <c r="T42" s="1">
        <f t="shared" si="20"/>
        <v>5.9133976742354157</v>
      </c>
      <c r="U42" s="1">
        <f t="shared" si="20"/>
        <v>4.0991241755592887</v>
      </c>
      <c r="V42" s="1">
        <f t="shared" si="20"/>
        <v>5.9101596560863383</v>
      </c>
      <c r="W42" s="1">
        <f t="shared" si="20"/>
        <v>3.6046829719151052</v>
      </c>
      <c r="X42" s="1">
        <f t="shared" si="20"/>
        <v>5.0012428932463688</v>
      </c>
      <c r="Y42" s="1">
        <f t="shared" si="20"/>
        <v>4.5429572631644843</v>
      </c>
      <c r="Z42" s="1">
        <f t="shared" si="20"/>
        <v>4.0188208390084377</v>
      </c>
      <c r="AA42" s="1">
        <f t="shared" si="20"/>
        <v>4.9997827417683789</v>
      </c>
      <c r="AB42" s="1">
        <f t="shared" si="20"/>
        <v>3.2108450971033626</v>
      </c>
      <c r="AC42" s="1">
        <f t="shared" si="20"/>
        <v>4.2392941916818021</v>
      </c>
      <c r="AD42" s="1">
        <f t="shared" si="20"/>
        <v>5.4340178722231816</v>
      </c>
      <c r="AE42" s="1">
        <f t="shared" si="20"/>
        <v>1.8377570797381986</v>
      </c>
      <c r="AF42" s="1">
        <f t="shared" si="20"/>
        <v>1.8648893772115105</v>
      </c>
      <c r="AG42" s="1">
        <f t="shared" si="20"/>
        <v>2.0662903974064544</v>
      </c>
      <c r="AH42" s="1">
        <f t="shared" si="20"/>
        <v>2.2968067013199018</v>
      </c>
      <c r="AI42" s="1">
        <f t="shared" si="20"/>
        <v>1.7369678825017987</v>
      </c>
      <c r="AJ42" s="1">
        <f t="shared" si="20"/>
        <v>2.1001593613125613</v>
      </c>
      <c r="AK42" s="1">
        <f t="shared" si="20"/>
        <v>2.566612334529967</v>
      </c>
      <c r="AL42" s="1">
        <f t="shared" si="20"/>
        <v>1.5880240999043851</v>
      </c>
      <c r="AM42" s="1">
        <f t="shared" si="20"/>
        <v>2.2434513065375943</v>
      </c>
      <c r="AN42" s="1">
        <f t="shared" si="20"/>
        <v>8.0792515989865983</v>
      </c>
      <c r="AO42" s="1">
        <f t="shared" si="20"/>
        <v>9.0103133191807174</v>
      </c>
      <c r="AP42" s="1">
        <f t="shared" si="20"/>
        <v>9.1251104946780686</v>
      </c>
      <c r="AQ42" s="1">
        <f t="shared" si="20"/>
        <v>7.8184048736558669</v>
      </c>
      <c r="AR42" s="1">
        <f t="shared" si="20"/>
        <v>0.15230499682090715</v>
      </c>
      <c r="AS42" s="1">
        <f t="shared" si="20"/>
        <v>0.33740658582558225</v>
      </c>
      <c r="AT42" s="1">
        <f t="shared" si="20"/>
        <v>0.33582583791440029</v>
      </c>
      <c r="AU42" s="5">
        <v>9999999</v>
      </c>
      <c r="AV42" s="1">
        <f t="shared" si="20"/>
        <v>0.75404031448710462</v>
      </c>
      <c r="AW42" s="1">
        <f t="shared" si="20"/>
        <v>1.7968913876709247</v>
      </c>
      <c r="AX42" s="1">
        <f t="shared" si="20"/>
        <v>0.69830514986068026</v>
      </c>
      <c r="AY42" s="1">
        <f t="shared" si="20"/>
        <v>0.96495131014581181</v>
      </c>
      <c r="AZ42" s="1">
        <f t="shared" si="20"/>
        <v>6.6419096327512026</v>
      </c>
      <c r="BA42" s="1">
        <f t="shared" si="20"/>
        <v>6.6596126912755187</v>
      </c>
      <c r="BB42" s="1">
        <f t="shared" si="20"/>
        <v>6.8282313627335984</v>
      </c>
      <c r="BC42" s="1">
        <f t="shared" si="20"/>
        <v>6.1876730958515598</v>
      </c>
      <c r="BD42" s="1">
        <f t="shared" si="20"/>
        <v>7.305272866826094</v>
      </c>
      <c r="BE42" s="1">
        <f t="shared" si="20"/>
        <v>6.4437006805573764</v>
      </c>
      <c r="BF42" s="1">
        <f t="shared" si="20"/>
        <v>2.9253159586248225</v>
      </c>
      <c r="BG42" s="1">
        <f t="shared" si="20"/>
        <v>2.6970976331556376</v>
      </c>
      <c r="BH42" s="1">
        <f t="shared" si="20"/>
        <v>3.8065540859123064</v>
      </c>
      <c r="BI42" s="1">
        <f t="shared" si="20"/>
        <v>3.087107772993912</v>
      </c>
      <c r="BJ42" s="1">
        <f t="shared" si="20"/>
        <v>2.964676856782523</v>
      </c>
      <c r="BK42" s="1">
        <f t="shared" si="20"/>
        <v>2.5984737479506643</v>
      </c>
      <c r="BL42" s="1">
        <f t="shared" si="20"/>
        <v>3.1508074187271626</v>
      </c>
      <c r="BM42" s="1">
        <f t="shared" si="20"/>
        <v>3.3868247733923562</v>
      </c>
      <c r="BN42" s="1">
        <f t="shared" si="20"/>
        <v>4.1647611860409386</v>
      </c>
      <c r="BO42" s="1">
        <f t="shared" si="20"/>
        <v>15.601077531591692</v>
      </c>
      <c r="BP42" s="1">
        <f t="shared" si="20"/>
        <v>16.267759416156082</v>
      </c>
      <c r="BQ42" s="1">
        <f t="shared" si="20"/>
        <v>3.4957700247334773</v>
      </c>
      <c r="BR42" s="1">
        <f t="shared" si="20"/>
        <v>3.9661670204304373</v>
      </c>
      <c r="BS42" s="1">
        <f t="shared" si="20"/>
        <v>3.4644427537314662</v>
      </c>
      <c r="BT42" s="1">
        <f t="shared" si="20"/>
        <v>2.8231830643667846</v>
      </c>
      <c r="BU42" s="1">
        <f t="shared" si="20"/>
        <v>3.1363806984686113</v>
      </c>
      <c r="BV42" s="1">
        <f t="shared" si="20"/>
        <v>2.1006216099331723</v>
      </c>
      <c r="BW42" s="1">
        <f t="shared" si="20"/>
        <v>2.0707445575591126</v>
      </c>
      <c r="BX42" s="1">
        <f t="shared" si="19"/>
        <v>2.3558287002121165</v>
      </c>
      <c r="BY42" s="1">
        <f t="shared" si="19"/>
        <v>1.7538387733270477</v>
      </c>
      <c r="BZ42" s="1">
        <f t="shared" si="19"/>
        <v>1.9739321745756344</v>
      </c>
      <c r="CA42" s="1">
        <f t="shared" si="19"/>
        <v>1.5336378824578085</v>
      </c>
      <c r="CB42" s="1">
        <f t="shared" si="19"/>
        <v>1.5240733234248831</v>
      </c>
      <c r="CC42" s="1">
        <f t="shared" si="19"/>
        <v>11.442787502232051</v>
      </c>
      <c r="CD42" s="1">
        <f t="shared" si="19"/>
        <v>13.068410054100685</v>
      </c>
      <c r="CE42" s="1">
        <f t="shared" si="19"/>
        <v>10.678431870403619</v>
      </c>
      <c r="CF42" s="1">
        <f t="shared" si="19"/>
        <v>10.842333062157605</v>
      </c>
      <c r="CH42" s="1" t="s">
        <v>54</v>
      </c>
      <c r="CI42" s="1">
        <v>0</v>
      </c>
      <c r="CJ42" s="1">
        <v>0</v>
      </c>
      <c r="CK42" s="1">
        <v>0</v>
      </c>
      <c r="CL42" s="1">
        <v>0</v>
      </c>
      <c r="CM42" s="1">
        <v>0</v>
      </c>
      <c r="CN42" s="1">
        <v>0</v>
      </c>
      <c r="CO42" s="1">
        <v>1</v>
      </c>
      <c r="CP42" s="1">
        <v>0</v>
      </c>
      <c r="CQ42" s="1">
        <v>0</v>
      </c>
      <c r="CR42" s="1">
        <v>0</v>
      </c>
      <c r="CS42" s="1">
        <v>0</v>
      </c>
      <c r="CT42" s="1">
        <v>0</v>
      </c>
      <c r="CU42" s="1">
        <v>0</v>
      </c>
      <c r="CV42" s="1">
        <v>0</v>
      </c>
      <c r="CW42" s="1">
        <v>0</v>
      </c>
      <c r="CX42" s="1">
        <v>0</v>
      </c>
      <c r="CY42" s="1">
        <v>0</v>
      </c>
      <c r="CZ42" s="1">
        <v>0</v>
      </c>
      <c r="DA42" s="1">
        <v>0</v>
      </c>
      <c r="DB42" s="1">
        <v>0</v>
      </c>
      <c r="DC42" s="1">
        <v>0</v>
      </c>
      <c r="DD42" s="1">
        <v>0</v>
      </c>
      <c r="DE42" s="1">
        <v>0</v>
      </c>
      <c r="DF42" s="1">
        <v>0</v>
      </c>
      <c r="DG42" s="1">
        <v>0</v>
      </c>
      <c r="DH42" s="1">
        <v>0</v>
      </c>
      <c r="DI42" s="1">
        <v>0</v>
      </c>
      <c r="DJ42" s="1">
        <v>0</v>
      </c>
      <c r="DK42" s="1">
        <v>0</v>
      </c>
      <c r="DL42" s="1">
        <v>0</v>
      </c>
      <c r="DM42" s="1">
        <v>0</v>
      </c>
      <c r="DN42" s="1">
        <v>0</v>
      </c>
      <c r="DO42" s="1">
        <v>0</v>
      </c>
      <c r="DP42" s="1">
        <v>0</v>
      </c>
      <c r="DQ42" s="1">
        <v>0</v>
      </c>
      <c r="DR42" s="1">
        <v>0</v>
      </c>
      <c r="DS42" s="1">
        <v>0</v>
      </c>
      <c r="DT42" s="1">
        <v>0</v>
      </c>
      <c r="DU42" s="1">
        <v>0</v>
      </c>
      <c r="DV42" s="1">
        <v>0</v>
      </c>
      <c r="DW42" s="1">
        <v>0</v>
      </c>
      <c r="DX42" s="1">
        <v>0</v>
      </c>
      <c r="DY42" s="1">
        <v>0</v>
      </c>
      <c r="DZ42" s="1">
        <v>0</v>
      </c>
      <c r="EA42" s="1">
        <v>0</v>
      </c>
      <c r="EB42" s="1">
        <v>0</v>
      </c>
      <c r="EC42" s="1">
        <v>0</v>
      </c>
      <c r="ED42" s="1">
        <v>0</v>
      </c>
      <c r="EE42" s="1">
        <v>0</v>
      </c>
      <c r="EF42" s="1">
        <v>0</v>
      </c>
      <c r="EG42" s="1">
        <v>0</v>
      </c>
      <c r="EH42" s="1">
        <v>0</v>
      </c>
      <c r="EI42" s="1">
        <v>0</v>
      </c>
      <c r="EJ42" s="1">
        <v>0</v>
      </c>
      <c r="EK42" s="1">
        <v>0</v>
      </c>
      <c r="EL42" s="1">
        <v>0</v>
      </c>
      <c r="EM42" s="1">
        <v>0</v>
      </c>
      <c r="EN42" s="1">
        <v>0</v>
      </c>
      <c r="EO42" s="1">
        <v>0</v>
      </c>
      <c r="EP42" s="1">
        <v>0</v>
      </c>
      <c r="EQ42" s="1">
        <v>0</v>
      </c>
      <c r="ER42" s="1">
        <v>0</v>
      </c>
      <c r="ES42" s="1">
        <v>0</v>
      </c>
      <c r="ET42" s="1">
        <v>0</v>
      </c>
      <c r="EU42" s="1">
        <v>0</v>
      </c>
      <c r="EV42" s="1">
        <v>0</v>
      </c>
      <c r="EW42" s="1">
        <v>0</v>
      </c>
      <c r="EX42" s="1">
        <v>0</v>
      </c>
      <c r="EY42" s="1">
        <v>0</v>
      </c>
      <c r="EZ42" s="1">
        <v>0</v>
      </c>
      <c r="FA42" s="1">
        <v>0</v>
      </c>
      <c r="FB42" s="1">
        <v>0</v>
      </c>
      <c r="FC42" s="1">
        <v>0</v>
      </c>
      <c r="FD42" s="1">
        <v>0</v>
      </c>
      <c r="FE42" s="1">
        <f t="shared" si="0"/>
        <v>0</v>
      </c>
    </row>
    <row r="43" spans="5:161" ht="15.75" thickBot="1" x14ac:dyDescent="0.3">
      <c r="E43" s="1" t="s">
        <v>56</v>
      </c>
      <c r="F43" s="1">
        <v>4</v>
      </c>
      <c r="H43" s="1" t="s">
        <v>127</v>
      </c>
      <c r="I43" s="2">
        <v>35.195232699999998</v>
      </c>
      <c r="J43" s="2">
        <v>-6.1529129999999999</v>
      </c>
      <c r="K43" s="1">
        <f t="shared" si="3"/>
        <v>4.1502513016185842</v>
      </c>
      <c r="L43" s="1">
        <f t="shared" si="20"/>
        <v>3.2403871873116099</v>
      </c>
      <c r="M43" s="1">
        <f t="shared" si="20"/>
        <v>2.7705211609618305</v>
      </c>
      <c r="N43" s="1">
        <f t="shared" si="20"/>
        <v>4.0897700456552437</v>
      </c>
      <c r="O43" s="1">
        <f t="shared" si="20"/>
        <v>3.8329242233300578</v>
      </c>
      <c r="P43" s="1">
        <f t="shared" si="20"/>
        <v>2.9636827155549041</v>
      </c>
      <c r="Q43" s="1">
        <f t="shared" si="20"/>
        <v>4.3146807930510063</v>
      </c>
      <c r="R43" s="1">
        <f t="shared" si="20"/>
        <v>4.0140344187181336</v>
      </c>
      <c r="S43" s="1">
        <f t="shared" si="20"/>
        <v>4.4838425541321802</v>
      </c>
      <c r="T43" s="1">
        <f t="shared" si="20"/>
        <v>5.1601700759573434</v>
      </c>
      <c r="U43" s="1">
        <f t="shared" si="20"/>
        <v>3.3819228362392124</v>
      </c>
      <c r="V43" s="1">
        <f t="shared" si="20"/>
        <v>5.156901223616412</v>
      </c>
      <c r="W43" s="1">
        <f t="shared" si="20"/>
        <v>4.0162322666892516</v>
      </c>
      <c r="X43" s="1">
        <f t="shared" si="20"/>
        <v>4.2494332840006335</v>
      </c>
      <c r="Y43" s="1">
        <f t="shared" si="20"/>
        <v>3.7896294459539024</v>
      </c>
      <c r="Z43" s="1">
        <f t="shared" si="20"/>
        <v>3.6908100932685444</v>
      </c>
      <c r="AA43" s="1">
        <f t="shared" si="20"/>
        <v>4.3417212711868167</v>
      </c>
      <c r="AB43" s="1">
        <f t="shared" si="20"/>
        <v>2.8846601706822406</v>
      </c>
      <c r="AC43" s="1">
        <f t="shared" si="20"/>
        <v>3.7261418207132539</v>
      </c>
      <c r="AD43" s="1">
        <f t="shared" si="20"/>
        <v>4.8774303347112271</v>
      </c>
      <c r="AE43" s="1">
        <f t="shared" si="20"/>
        <v>1.6245238007996796</v>
      </c>
      <c r="AF43" s="1">
        <f t="shared" si="20"/>
        <v>1.4382704627728169</v>
      </c>
      <c r="AG43" s="1">
        <f t="shared" si="20"/>
        <v>1.6355814577618815</v>
      </c>
      <c r="AH43" s="1">
        <f t="shared" si="20"/>
        <v>1.9682639179826162</v>
      </c>
      <c r="AI43" s="1">
        <f t="shared" si="20"/>
        <v>1.4747210065127856</v>
      </c>
      <c r="AJ43" s="1">
        <f t="shared" si="20"/>
        <v>1.9023934001549447</v>
      </c>
      <c r="AK43" s="1">
        <f t="shared" si="20"/>
        <v>2.3194939359733522</v>
      </c>
      <c r="AL43" s="1">
        <f t="shared" si="20"/>
        <v>1.6529889943843799</v>
      </c>
      <c r="AM43" s="1">
        <f t="shared" si="20"/>
        <v>2.3501075246716434</v>
      </c>
      <c r="AN43" s="1">
        <f t="shared" si="20"/>
        <v>7.3345129427689075</v>
      </c>
      <c r="AO43" s="1">
        <f t="shared" si="20"/>
        <v>8.3031975440065828</v>
      </c>
      <c r="AP43" s="1">
        <f t="shared" si="20"/>
        <v>8.3741678919038307</v>
      </c>
      <c r="AQ43" s="1">
        <f t="shared" si="20"/>
        <v>7.0694168584328647</v>
      </c>
      <c r="AR43" s="1">
        <f t="shared" si="20"/>
        <v>0.67914360868845169</v>
      </c>
      <c r="AS43" s="1">
        <f t="shared" si="20"/>
        <v>0.96263441223759494</v>
      </c>
      <c r="AT43" s="1">
        <f t="shared" si="20"/>
        <v>0.86420762231216774</v>
      </c>
      <c r="AU43" s="1">
        <f t="shared" si="20"/>
        <v>0.75404031448710462</v>
      </c>
      <c r="AV43" s="5">
        <v>9999999</v>
      </c>
      <c r="AW43" s="1">
        <f t="shared" si="20"/>
        <v>2.2232866348311209</v>
      </c>
      <c r="AX43" s="1">
        <f t="shared" si="20"/>
        <v>0.87661553813140858</v>
      </c>
      <c r="AY43" s="1">
        <f t="shared" si="20"/>
        <v>0.69910029315577382</v>
      </c>
      <c r="AZ43" s="1">
        <f t="shared" si="20"/>
        <v>5.8912436003830706</v>
      </c>
      <c r="BA43" s="1">
        <f t="shared" si="20"/>
        <v>5.9099860105329283</v>
      </c>
      <c r="BB43" s="1">
        <f t="shared" si="20"/>
        <v>6.0846133006066507</v>
      </c>
      <c r="BC43" s="1">
        <f t="shared" si="20"/>
        <v>5.4475074172053803</v>
      </c>
      <c r="BD43" s="1">
        <f t="shared" si="20"/>
        <v>6.55876728682364</v>
      </c>
      <c r="BE43" s="1">
        <f t="shared" si="20"/>
        <v>5.7437126634415545</v>
      </c>
      <c r="BF43" s="1">
        <f t="shared" si="20"/>
        <v>2.1713421363000442</v>
      </c>
      <c r="BG43" s="1">
        <f t="shared" si="20"/>
        <v>1.9434270211082789</v>
      </c>
      <c r="BH43" s="1">
        <f t="shared" si="20"/>
        <v>3.0591569130280973</v>
      </c>
      <c r="BI43" s="1">
        <f t="shared" si="20"/>
        <v>2.3337033385510408</v>
      </c>
      <c r="BJ43" s="1">
        <f t="shared" si="20"/>
        <v>2.2116630382279934</v>
      </c>
      <c r="BK43" s="1">
        <f t="shared" si="20"/>
        <v>1.8526642137125779</v>
      </c>
      <c r="BL43" s="1">
        <f t="shared" si="20"/>
        <v>2.3990271276911095</v>
      </c>
      <c r="BM43" s="1">
        <f t="shared" si="20"/>
        <v>2.6382726252816395</v>
      </c>
      <c r="BN43" s="1">
        <f t="shared" si="20"/>
        <v>3.410722470459993</v>
      </c>
      <c r="BO43" s="1">
        <f t="shared" si="20"/>
        <v>14.849722383511278</v>
      </c>
      <c r="BP43" s="1">
        <f t="shared" si="20"/>
        <v>15.52324380264243</v>
      </c>
      <c r="BQ43" s="1">
        <f t="shared" si="20"/>
        <v>2.8680511053780204</v>
      </c>
      <c r="BR43" s="1">
        <f t="shared" si="20"/>
        <v>3.3367193762498673</v>
      </c>
      <c r="BS43" s="1">
        <f t="shared" si="20"/>
        <v>2.7755418983837683</v>
      </c>
      <c r="BT43" s="1">
        <f t="shared" si="20"/>
        <v>2.3105640651554271</v>
      </c>
      <c r="BU43" s="1">
        <f t="shared" si="20"/>
        <v>2.4304023731503959</v>
      </c>
      <c r="BV43" s="1">
        <f t="shared" si="20"/>
        <v>1.3562964693347572</v>
      </c>
      <c r="BW43" s="1">
        <f t="shared" ref="BW43:CF46" si="21">SQRT(POWER($I43-BW$4,2)+POWER(BW$5-$J43,2))</f>
        <v>1.3267814917859275</v>
      </c>
      <c r="BX43" s="1">
        <f t="shared" si="21"/>
        <v>1.6193232408358433</v>
      </c>
      <c r="BY43" s="1">
        <f t="shared" si="21"/>
        <v>1.0199194236346756</v>
      </c>
      <c r="BZ43" s="1">
        <f t="shared" si="21"/>
        <v>1.3673061613305519</v>
      </c>
      <c r="CA43" s="1">
        <f t="shared" si="21"/>
        <v>1.0646676740605401</v>
      </c>
      <c r="CB43" s="1">
        <f t="shared" si="21"/>
        <v>0.96219065180040364</v>
      </c>
      <c r="CC43" s="1">
        <f t="shared" si="21"/>
        <v>10.688765188240653</v>
      </c>
      <c r="CD43" s="1">
        <f t="shared" si="21"/>
        <v>12.314466911640245</v>
      </c>
      <c r="CE43" s="1">
        <f t="shared" si="21"/>
        <v>9.9246021295402773</v>
      </c>
      <c r="CF43" s="1">
        <f t="shared" si="21"/>
        <v>10.095999652175028</v>
      </c>
      <c r="CH43" s="1" t="s">
        <v>55</v>
      </c>
      <c r="CI43" s="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T43" s="1">
        <v>0</v>
      </c>
      <c r="CU43" s="1">
        <v>0</v>
      </c>
      <c r="CV43" s="1">
        <v>0</v>
      </c>
      <c r="CW43" s="1">
        <v>0</v>
      </c>
      <c r="CX43" s="1">
        <v>0</v>
      </c>
      <c r="CY43" s="1">
        <v>0</v>
      </c>
      <c r="CZ43" s="1">
        <v>0</v>
      </c>
      <c r="DA43" s="1">
        <v>0</v>
      </c>
      <c r="DB43" s="1">
        <v>0</v>
      </c>
      <c r="DC43" s="1">
        <v>0</v>
      </c>
      <c r="DD43" s="1">
        <v>0</v>
      </c>
      <c r="DE43" s="1">
        <v>0</v>
      </c>
      <c r="DF43" s="1">
        <v>0</v>
      </c>
      <c r="DG43" s="1">
        <v>0</v>
      </c>
      <c r="DH43" s="1">
        <v>0</v>
      </c>
      <c r="DI43" s="1">
        <v>0</v>
      </c>
      <c r="DJ43" s="1">
        <v>1</v>
      </c>
      <c r="DK43" s="1">
        <v>0</v>
      </c>
      <c r="DL43" s="1">
        <v>0</v>
      </c>
      <c r="DM43" s="1">
        <v>0</v>
      </c>
      <c r="DN43" s="1">
        <v>0</v>
      </c>
      <c r="DO43" s="1">
        <v>0</v>
      </c>
      <c r="DP43" s="1">
        <v>0</v>
      </c>
      <c r="DQ43" s="1">
        <v>0</v>
      </c>
      <c r="DR43" s="1">
        <v>0</v>
      </c>
      <c r="DS43" s="1">
        <v>0</v>
      </c>
      <c r="DT43" s="1">
        <v>0</v>
      </c>
      <c r="DU43" s="1">
        <v>0</v>
      </c>
      <c r="DV43" s="1">
        <v>0</v>
      </c>
      <c r="DW43" s="1">
        <v>0</v>
      </c>
      <c r="DX43" s="1">
        <v>0</v>
      </c>
      <c r="DY43" s="1">
        <v>0</v>
      </c>
      <c r="DZ43" s="1">
        <v>0</v>
      </c>
      <c r="EA43" s="1">
        <v>0</v>
      </c>
      <c r="EB43" s="1">
        <v>0</v>
      </c>
      <c r="EC43" s="1">
        <v>0</v>
      </c>
      <c r="ED43" s="1">
        <v>0</v>
      </c>
      <c r="EE43" s="1">
        <v>0</v>
      </c>
      <c r="EF43" s="1">
        <v>0</v>
      </c>
      <c r="EG43" s="1">
        <v>0</v>
      </c>
      <c r="EH43" s="1">
        <v>0</v>
      </c>
      <c r="EI43" s="1">
        <v>0</v>
      </c>
      <c r="EJ43" s="1">
        <v>0</v>
      </c>
      <c r="EK43" s="1">
        <v>0</v>
      </c>
      <c r="EL43" s="1">
        <v>0</v>
      </c>
      <c r="EM43" s="1">
        <v>0</v>
      </c>
      <c r="EN43" s="1">
        <v>0</v>
      </c>
      <c r="EO43" s="1">
        <v>0</v>
      </c>
      <c r="EP43" s="1">
        <v>0</v>
      </c>
      <c r="EQ43" s="1">
        <v>0</v>
      </c>
      <c r="ER43" s="1">
        <v>0</v>
      </c>
      <c r="ES43" s="1">
        <v>0</v>
      </c>
      <c r="ET43" s="1">
        <v>0</v>
      </c>
      <c r="EU43" s="1">
        <v>0</v>
      </c>
      <c r="EV43" s="1">
        <v>0</v>
      </c>
      <c r="EW43" s="1">
        <v>0</v>
      </c>
      <c r="EX43" s="1">
        <v>0</v>
      </c>
      <c r="EY43" s="1">
        <v>0</v>
      </c>
      <c r="EZ43" s="1">
        <v>0</v>
      </c>
      <c r="FA43" s="1">
        <v>0</v>
      </c>
      <c r="FB43" s="1">
        <v>0</v>
      </c>
      <c r="FC43" s="1">
        <v>0</v>
      </c>
      <c r="FD43" s="1">
        <v>0</v>
      </c>
      <c r="FE43" s="1">
        <f t="shared" si="0"/>
        <v>0</v>
      </c>
    </row>
    <row r="44" spans="5:161" ht="15.75" thickBot="1" x14ac:dyDescent="0.3">
      <c r="E44" s="1" t="s">
        <v>57</v>
      </c>
      <c r="F44" s="1">
        <v>4</v>
      </c>
      <c r="H44" s="1" t="s">
        <v>128</v>
      </c>
      <c r="I44" s="2">
        <v>35.245114000000001</v>
      </c>
      <c r="J44" s="2">
        <v>-3.930186</v>
      </c>
      <c r="K44" s="1">
        <f t="shared" si="3"/>
        <v>1.9798221471594755</v>
      </c>
      <c r="L44" s="1">
        <f t="shared" ref="L44:BW47" si="22">SQRT(POWER($I44-L$4,2)+POWER(L$5-$J44,2))</f>
        <v>1.01835208163615</v>
      </c>
      <c r="M44" s="1">
        <f t="shared" si="22"/>
        <v>0.60219053881392159</v>
      </c>
      <c r="N44" s="1">
        <f t="shared" si="22"/>
        <v>2.001768769548073</v>
      </c>
      <c r="O44" s="1">
        <f t="shared" si="22"/>
        <v>1.6321430827220813</v>
      </c>
      <c r="P44" s="1">
        <f t="shared" si="22"/>
        <v>1.1719035603346415</v>
      </c>
      <c r="Q44" s="1">
        <f t="shared" si="22"/>
        <v>2.8533109707960231</v>
      </c>
      <c r="R44" s="1">
        <f t="shared" si="22"/>
        <v>5.4382464292777257</v>
      </c>
      <c r="S44" s="1">
        <f t="shared" si="22"/>
        <v>6.0827199773570495</v>
      </c>
      <c r="T44" s="1">
        <f t="shared" si="22"/>
        <v>6.9287718442342383</v>
      </c>
      <c r="U44" s="1">
        <f t="shared" si="22"/>
        <v>4.7188631376775492</v>
      </c>
      <c r="V44" s="1">
        <f t="shared" si="22"/>
        <v>6.9244878060039445</v>
      </c>
      <c r="W44" s="1">
        <f t="shared" si="22"/>
        <v>1.8132958049364645</v>
      </c>
      <c r="X44" s="1">
        <f t="shared" si="22"/>
        <v>6.0806675805866846</v>
      </c>
      <c r="Y44" s="1">
        <f t="shared" si="22"/>
        <v>5.4933242347396538</v>
      </c>
      <c r="Z44" s="1">
        <f t="shared" si="22"/>
        <v>3.3540917800968248</v>
      </c>
      <c r="AA44" s="1">
        <f t="shared" si="22"/>
        <v>5.2525931423831027</v>
      </c>
      <c r="AB44" s="1">
        <f t="shared" si="22"/>
        <v>2.6895467402166515</v>
      </c>
      <c r="AC44" s="1">
        <f t="shared" si="22"/>
        <v>4.0533563666596129</v>
      </c>
      <c r="AD44" s="1">
        <f t="shared" si="22"/>
        <v>5.2739108483600674</v>
      </c>
      <c r="AE44" s="1">
        <f t="shared" si="22"/>
        <v>1.6262303647994998</v>
      </c>
      <c r="AF44" s="1">
        <f t="shared" si="22"/>
        <v>2.0930757633495376</v>
      </c>
      <c r="AG44" s="1">
        <f t="shared" si="22"/>
        <v>2.1984505231994036</v>
      </c>
      <c r="AH44" s="1">
        <f t="shared" si="22"/>
        <v>2.0822316879648626</v>
      </c>
      <c r="AI44" s="1">
        <f t="shared" si="22"/>
        <v>1.703163916162211</v>
      </c>
      <c r="AJ44" s="1">
        <f t="shared" si="22"/>
        <v>1.6830607265205881</v>
      </c>
      <c r="AK44" s="1">
        <f t="shared" si="22"/>
        <v>2.0441088468430157</v>
      </c>
      <c r="AL44" s="1">
        <f t="shared" si="22"/>
        <v>0.99875031710032403</v>
      </c>
      <c r="AM44" s="1">
        <f t="shared" si="22"/>
        <v>1.0181005148829829</v>
      </c>
      <c r="AN44" s="1">
        <f t="shared" si="22"/>
        <v>8.7587023996366167</v>
      </c>
      <c r="AO44" s="1">
        <f t="shared" si="22"/>
        <v>9.3562715691865552</v>
      </c>
      <c r="AP44" s="1">
        <f t="shared" si="22"/>
        <v>9.8858466306738233</v>
      </c>
      <c r="AQ44" s="1">
        <f t="shared" si="22"/>
        <v>8.5653145173547216</v>
      </c>
      <c r="AR44" s="1">
        <f t="shared" si="22"/>
        <v>1.9472190134342926</v>
      </c>
      <c r="AS44" s="1">
        <f t="shared" si="22"/>
        <v>1.4603397689317534</v>
      </c>
      <c r="AT44" s="1">
        <f t="shared" si="22"/>
        <v>1.4802247136538287</v>
      </c>
      <c r="AU44" s="1">
        <f t="shared" si="22"/>
        <v>1.7968913876709247</v>
      </c>
      <c r="AV44" s="1">
        <f t="shared" si="22"/>
        <v>2.2232866348311209</v>
      </c>
      <c r="AW44" s="5">
        <v>9999999</v>
      </c>
      <c r="AX44" s="1">
        <f t="shared" si="22"/>
        <v>1.3485611843085199</v>
      </c>
      <c r="AY44" s="1">
        <f t="shared" si="22"/>
        <v>1.7081978707684895</v>
      </c>
      <c r="AZ44" s="1">
        <f t="shared" si="22"/>
        <v>7.4477922043648279</v>
      </c>
      <c r="BA44" s="1">
        <f t="shared" si="22"/>
        <v>7.4456165096892359</v>
      </c>
      <c r="BB44" s="1">
        <f t="shared" si="22"/>
        <v>7.5247525097920978</v>
      </c>
      <c r="BC44" s="1">
        <f t="shared" si="22"/>
        <v>6.8669189016526859</v>
      </c>
      <c r="BD44" s="1">
        <f t="shared" si="22"/>
        <v>8.0259741041334216</v>
      </c>
      <c r="BE44" s="1">
        <f t="shared" si="22"/>
        <v>6.8229649199397775</v>
      </c>
      <c r="BF44" s="1">
        <f t="shared" si="22"/>
        <v>4.0422043461900738</v>
      </c>
      <c r="BG44" s="1">
        <f t="shared" si="22"/>
        <v>3.7902410045690678</v>
      </c>
      <c r="BH44" s="1">
        <f t="shared" si="22"/>
        <v>4.9932843184419227</v>
      </c>
      <c r="BI44" s="1">
        <f t="shared" si="22"/>
        <v>4.1336860607918684</v>
      </c>
      <c r="BJ44" s="1">
        <f t="shared" si="22"/>
        <v>4.0103335409021783</v>
      </c>
      <c r="BK44" s="1">
        <f t="shared" si="22"/>
        <v>3.5840573356025098</v>
      </c>
      <c r="BL44" s="1">
        <f t="shared" si="22"/>
        <v>4.152081303783997</v>
      </c>
      <c r="BM44" s="1">
        <f t="shared" si="22"/>
        <v>4.3178148899472282</v>
      </c>
      <c r="BN44" s="1">
        <f t="shared" si="22"/>
        <v>5.1891052294790008</v>
      </c>
      <c r="BO44" s="1">
        <f t="shared" si="22"/>
        <v>16.311498268798683</v>
      </c>
      <c r="BP44" s="1">
        <f t="shared" si="22"/>
        <v>16.854864006299202</v>
      </c>
      <c r="BQ44" s="1">
        <f t="shared" si="22"/>
        <v>3.7874941774796187</v>
      </c>
      <c r="BR44" s="1">
        <f t="shared" si="22"/>
        <v>4.201211881666497</v>
      </c>
      <c r="BS44" s="1">
        <f t="shared" si="22"/>
        <v>4.0041860279308938</v>
      </c>
      <c r="BT44" s="1">
        <f t="shared" si="22"/>
        <v>2.8911585559370856</v>
      </c>
      <c r="BU44" s="1">
        <f t="shared" si="22"/>
        <v>3.8003277876967401</v>
      </c>
      <c r="BV44" s="1">
        <f t="shared" si="22"/>
        <v>3.1507764155754443</v>
      </c>
      <c r="BW44" s="1">
        <f t="shared" si="22"/>
        <v>3.1236231026143355</v>
      </c>
      <c r="BX44" s="1">
        <f t="shared" si="21"/>
        <v>3.3073197988017227</v>
      </c>
      <c r="BY44" s="1">
        <f t="shared" si="21"/>
        <v>2.8161989944293717</v>
      </c>
      <c r="BZ44" s="1">
        <f t="shared" si="21"/>
        <v>2.5674295728393424</v>
      </c>
      <c r="CA44" s="1">
        <f t="shared" si="21"/>
        <v>2.051974220673348</v>
      </c>
      <c r="CB44" s="1">
        <f t="shared" si="21"/>
        <v>2.2268737229993536</v>
      </c>
      <c r="CC44" s="1">
        <f t="shared" si="21"/>
        <v>12.300483112377384</v>
      </c>
      <c r="CD44" s="1">
        <f t="shared" si="21"/>
        <v>13.94732088541128</v>
      </c>
      <c r="CE44" s="1">
        <f t="shared" si="21"/>
        <v>11.587471322904566</v>
      </c>
      <c r="CF44" s="1">
        <f t="shared" si="21"/>
        <v>11.499638468560308</v>
      </c>
      <c r="CH44" s="1" t="s">
        <v>56</v>
      </c>
      <c r="CI44" s="1">
        <v>0</v>
      </c>
      <c r="CJ44" s="1">
        <v>0</v>
      </c>
      <c r="CK44" s="1">
        <v>0</v>
      </c>
      <c r="CL44" s="1">
        <v>0</v>
      </c>
      <c r="CM44" s="1">
        <v>0</v>
      </c>
      <c r="CN44" s="1">
        <v>0</v>
      </c>
      <c r="CO44" s="1">
        <v>0</v>
      </c>
      <c r="CP44" s="1">
        <v>0</v>
      </c>
      <c r="CQ44" s="1">
        <v>0</v>
      </c>
      <c r="CR44" s="1">
        <v>0</v>
      </c>
      <c r="CS44" s="1">
        <v>0</v>
      </c>
      <c r="CT44" s="1">
        <v>0</v>
      </c>
      <c r="CU44" s="1">
        <v>0</v>
      </c>
      <c r="CV44" s="1">
        <v>0</v>
      </c>
      <c r="CW44" s="1">
        <v>0</v>
      </c>
      <c r="CX44" s="1">
        <v>0</v>
      </c>
      <c r="CY44" s="1">
        <v>0</v>
      </c>
      <c r="CZ44" s="1">
        <v>0</v>
      </c>
      <c r="DA44" s="1">
        <v>0</v>
      </c>
      <c r="DB44" s="1">
        <v>0</v>
      </c>
      <c r="DC44" s="1">
        <v>0</v>
      </c>
      <c r="DD44" s="1">
        <v>0</v>
      </c>
      <c r="DE44" s="1">
        <v>0</v>
      </c>
      <c r="DF44" s="1">
        <v>0</v>
      </c>
      <c r="DG44" s="1">
        <v>0</v>
      </c>
      <c r="DH44" s="1">
        <v>0</v>
      </c>
      <c r="DI44" s="1">
        <v>0</v>
      </c>
      <c r="DJ44" s="1">
        <v>0</v>
      </c>
      <c r="DK44" s="1">
        <v>0</v>
      </c>
      <c r="DL44" s="1">
        <v>0</v>
      </c>
      <c r="DM44" s="1">
        <v>0</v>
      </c>
      <c r="DN44" s="1">
        <v>0</v>
      </c>
      <c r="DO44" s="1">
        <v>0</v>
      </c>
      <c r="DP44" s="1">
        <v>0</v>
      </c>
      <c r="DQ44" s="1">
        <v>0</v>
      </c>
      <c r="DR44" s="1">
        <v>0</v>
      </c>
      <c r="DS44" s="1">
        <v>0</v>
      </c>
      <c r="DT44" s="1">
        <v>0</v>
      </c>
      <c r="DU44" s="1">
        <v>0</v>
      </c>
      <c r="DV44" s="1">
        <v>0</v>
      </c>
      <c r="DW44" s="1">
        <v>0</v>
      </c>
      <c r="DX44" s="1">
        <v>0</v>
      </c>
      <c r="DY44" s="1">
        <v>0</v>
      </c>
      <c r="DZ44" s="1">
        <v>0</v>
      </c>
      <c r="EA44" s="1">
        <v>0</v>
      </c>
      <c r="EB44" s="1">
        <v>0</v>
      </c>
      <c r="EC44" s="1">
        <v>0</v>
      </c>
      <c r="ED44" s="1">
        <v>0</v>
      </c>
      <c r="EE44" s="1">
        <v>1</v>
      </c>
      <c r="EF44" s="1">
        <v>0</v>
      </c>
      <c r="EG44" s="1">
        <v>0</v>
      </c>
      <c r="EH44" s="1">
        <v>0</v>
      </c>
      <c r="EI44" s="1">
        <v>0</v>
      </c>
      <c r="EJ44" s="1">
        <v>0</v>
      </c>
      <c r="EK44" s="1">
        <v>0</v>
      </c>
      <c r="EL44" s="1">
        <v>0</v>
      </c>
      <c r="EM44" s="1">
        <v>0</v>
      </c>
      <c r="EN44" s="1">
        <v>0</v>
      </c>
      <c r="EO44" s="1">
        <v>0</v>
      </c>
      <c r="EP44" s="1">
        <v>0</v>
      </c>
      <c r="EQ44" s="1">
        <v>0</v>
      </c>
      <c r="ER44" s="1">
        <v>0</v>
      </c>
      <c r="ES44" s="1">
        <v>0</v>
      </c>
      <c r="ET44" s="1">
        <v>0</v>
      </c>
      <c r="EU44" s="1">
        <v>0</v>
      </c>
      <c r="EV44" s="1">
        <v>0</v>
      </c>
      <c r="EW44" s="1">
        <v>0</v>
      </c>
      <c r="EX44" s="1">
        <v>0</v>
      </c>
      <c r="EY44" s="1">
        <v>0</v>
      </c>
      <c r="EZ44" s="1">
        <v>0</v>
      </c>
      <c r="FA44" s="1">
        <v>0</v>
      </c>
      <c r="FB44" s="1">
        <v>0</v>
      </c>
      <c r="FC44" s="1">
        <v>0</v>
      </c>
      <c r="FD44" s="1">
        <v>0</v>
      </c>
      <c r="FE44" s="1">
        <f t="shared" si="0"/>
        <v>0</v>
      </c>
    </row>
    <row r="45" spans="5:161" ht="15.75" thickBot="1" x14ac:dyDescent="0.3">
      <c r="E45" s="1" t="s">
        <v>58</v>
      </c>
      <c r="F45" s="1">
        <v>14</v>
      </c>
      <c r="H45" s="1" t="s">
        <v>129</v>
      </c>
      <c r="I45" s="2">
        <v>35.170083200000001</v>
      </c>
      <c r="J45" s="2">
        <v>-5.2766582971063896</v>
      </c>
      <c r="K45" s="1">
        <f t="shared" si="3"/>
        <v>3.2790300650333246</v>
      </c>
      <c r="L45" s="1">
        <f t="shared" si="22"/>
        <v>2.3643994074293659</v>
      </c>
      <c r="M45" s="1">
        <f t="shared" si="22"/>
        <v>1.8955190984515136</v>
      </c>
      <c r="N45" s="1">
        <f t="shared" si="22"/>
        <v>3.2330356981537371</v>
      </c>
      <c r="O45" s="1">
        <f t="shared" si="22"/>
        <v>2.9572838037738385</v>
      </c>
      <c r="P45" s="1">
        <f t="shared" si="22"/>
        <v>2.143612725347634</v>
      </c>
      <c r="Q45" s="1">
        <f t="shared" si="22"/>
        <v>3.617127631800757</v>
      </c>
      <c r="R45" s="1">
        <f t="shared" si="22"/>
        <v>4.4631189827866287</v>
      </c>
      <c r="S45" s="1">
        <f t="shared" si="22"/>
        <v>5.0257278808036023</v>
      </c>
      <c r="T45" s="1">
        <f t="shared" si="22"/>
        <v>5.791878388839339</v>
      </c>
      <c r="U45" s="1">
        <f t="shared" si="22"/>
        <v>3.774288180303738</v>
      </c>
      <c r="V45" s="1">
        <f t="shared" si="22"/>
        <v>5.7880852299580221</v>
      </c>
      <c r="W45" s="1">
        <f t="shared" si="22"/>
        <v>3.1404938638312316</v>
      </c>
      <c r="X45" s="1">
        <f t="shared" si="22"/>
        <v>4.9063580202261647</v>
      </c>
      <c r="Y45" s="1">
        <f t="shared" si="22"/>
        <v>4.3762466076046556</v>
      </c>
      <c r="Z45" s="1">
        <f t="shared" si="22"/>
        <v>3.3487281782162035</v>
      </c>
      <c r="AA45" s="1">
        <f t="shared" si="22"/>
        <v>4.553283192508454</v>
      </c>
      <c r="AB45" s="1">
        <f t="shared" si="22"/>
        <v>2.546939150364961</v>
      </c>
      <c r="AC45" s="1">
        <f t="shared" si="22"/>
        <v>3.6576184966881966</v>
      </c>
      <c r="AD45" s="1">
        <f t="shared" si="22"/>
        <v>4.8743788721681618</v>
      </c>
      <c r="AE45" s="1">
        <f t="shared" si="22"/>
        <v>1.1649219759697003</v>
      </c>
      <c r="AF45" s="1">
        <f t="shared" si="22"/>
        <v>1.2975845330161719</v>
      </c>
      <c r="AG45" s="1">
        <f t="shared" si="22"/>
        <v>1.4871313669612094</v>
      </c>
      <c r="AH45" s="1">
        <f t="shared" si="22"/>
        <v>1.6511754299727934</v>
      </c>
      <c r="AI45" s="1">
        <f t="shared" si="22"/>
        <v>1.0869719595147227</v>
      </c>
      <c r="AJ45" s="1">
        <f t="shared" si="22"/>
        <v>1.4163537275026794</v>
      </c>
      <c r="AK45" s="1">
        <f t="shared" si="22"/>
        <v>1.8873193374667776</v>
      </c>
      <c r="AL45" s="1">
        <f t="shared" si="22"/>
        <v>0.89965459854249674</v>
      </c>
      <c r="AM45" s="1">
        <f t="shared" si="22"/>
        <v>1.5772205960720571</v>
      </c>
      <c r="AN45" s="1">
        <f t="shared" si="22"/>
        <v>7.8162617531841674</v>
      </c>
      <c r="AO45" s="1">
        <f t="shared" si="22"/>
        <v>8.6253547467071261</v>
      </c>
      <c r="AP45" s="1">
        <f t="shared" si="22"/>
        <v>8.9007142015929119</v>
      </c>
      <c r="AQ45" s="1">
        <f t="shared" si="22"/>
        <v>7.5825646985663324</v>
      </c>
      <c r="AR45" s="1">
        <f t="shared" si="22"/>
        <v>0.80383693735045669</v>
      </c>
      <c r="AS45" s="1">
        <f t="shared" si="22"/>
        <v>0.5153838347463352</v>
      </c>
      <c r="AT45" s="1">
        <f t="shared" si="22"/>
        <v>0.41182881968686119</v>
      </c>
      <c r="AU45" s="1">
        <f t="shared" si="22"/>
        <v>0.69830514986068026</v>
      </c>
      <c r="AV45" s="1">
        <f t="shared" si="22"/>
        <v>0.87661553813140858</v>
      </c>
      <c r="AW45" s="1">
        <f t="shared" si="22"/>
        <v>1.3485611843085199</v>
      </c>
      <c r="AX45" s="5">
        <v>9999999</v>
      </c>
      <c r="AY45" s="1">
        <f t="shared" si="22"/>
        <v>0.4800798261511463</v>
      </c>
      <c r="AZ45" s="1">
        <f t="shared" si="22"/>
        <v>6.4252532970470533</v>
      </c>
      <c r="BA45" s="1">
        <f t="shared" si="22"/>
        <v>6.4342286295000664</v>
      </c>
      <c r="BB45" s="1">
        <f t="shared" si="22"/>
        <v>6.5653613687674834</v>
      </c>
      <c r="BC45" s="1">
        <f t="shared" si="22"/>
        <v>5.9129139387990604</v>
      </c>
      <c r="BD45" s="1">
        <f t="shared" si="22"/>
        <v>7.0555321313861779</v>
      </c>
      <c r="BE45" s="1">
        <f t="shared" si="22"/>
        <v>6.0554429000835572</v>
      </c>
      <c r="BF45" s="1">
        <f t="shared" si="22"/>
        <v>2.8237918624907619</v>
      </c>
      <c r="BG45" s="1">
        <f t="shared" si="22"/>
        <v>2.5761941637053134</v>
      </c>
      <c r="BH45" s="1">
        <f t="shared" si="22"/>
        <v>3.7606208206232097</v>
      </c>
      <c r="BI45" s="1">
        <f t="shared" si="22"/>
        <v>2.9483004114080491</v>
      </c>
      <c r="BJ45" s="1">
        <f t="shared" si="22"/>
        <v>2.8226389384034225</v>
      </c>
      <c r="BK45" s="1">
        <f t="shared" si="22"/>
        <v>2.4127948994000663</v>
      </c>
      <c r="BL45" s="1">
        <f t="shared" si="22"/>
        <v>2.9882811712805384</v>
      </c>
      <c r="BM45" s="1">
        <f t="shared" si="22"/>
        <v>3.1920981324180482</v>
      </c>
      <c r="BN45" s="1">
        <f t="shared" si="22"/>
        <v>4.0316207886124058</v>
      </c>
      <c r="BO45" s="1">
        <f t="shared" si="22"/>
        <v>15.369570093732676</v>
      </c>
      <c r="BP45" s="1">
        <f t="shared" si="22"/>
        <v>15.987866494613261</v>
      </c>
      <c r="BQ45" s="1">
        <f t="shared" si="22"/>
        <v>3.0333984158052671</v>
      </c>
      <c r="BR45" s="1">
        <f t="shared" si="22"/>
        <v>3.4963471633118095</v>
      </c>
      <c r="BS45" s="1">
        <f t="shared" si="22"/>
        <v>3.092990392601159</v>
      </c>
      <c r="BT45" s="1">
        <f t="shared" si="22"/>
        <v>2.2686097560194693</v>
      </c>
      <c r="BU45" s="1">
        <f t="shared" si="22"/>
        <v>2.807953049955648</v>
      </c>
      <c r="BV45" s="1">
        <f t="shared" si="22"/>
        <v>1.9345932052641615</v>
      </c>
      <c r="BW45" s="1">
        <f t="shared" si="22"/>
        <v>1.905133530510754</v>
      </c>
      <c r="BX45" s="1">
        <f t="shared" si="21"/>
        <v>2.1425977952126054</v>
      </c>
      <c r="BY45" s="1">
        <f t="shared" si="21"/>
        <v>1.5789629805269549</v>
      </c>
      <c r="BZ45" s="1">
        <f t="shared" si="21"/>
        <v>1.5583918029114681</v>
      </c>
      <c r="CA45" s="1">
        <f t="shared" si="21"/>
        <v>1.0390116676611805</v>
      </c>
      <c r="CB45" s="1">
        <f t="shared" si="21"/>
        <v>1.118814986286949</v>
      </c>
      <c r="CC45" s="1">
        <f t="shared" si="21"/>
        <v>11.26746318846258</v>
      </c>
      <c r="CD45" s="1">
        <f t="shared" si="21"/>
        <v>12.905738847850797</v>
      </c>
      <c r="CE45" s="1">
        <f t="shared" si="21"/>
        <v>10.524703888259205</v>
      </c>
      <c r="CF45" s="1">
        <f t="shared" si="21"/>
        <v>10.580223102037161</v>
      </c>
      <c r="CH45" s="1" t="s">
        <v>57</v>
      </c>
      <c r="CI45" s="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1</v>
      </c>
      <c r="CS45" s="1">
        <v>0</v>
      </c>
      <c r="CT45" s="1">
        <v>0</v>
      </c>
      <c r="CU45" s="1">
        <v>0</v>
      </c>
      <c r="CV45" s="1">
        <v>0</v>
      </c>
      <c r="CW45" s="1">
        <v>0</v>
      </c>
      <c r="CX45" s="1">
        <v>0</v>
      </c>
      <c r="CY45" s="1">
        <v>0</v>
      </c>
      <c r="CZ45" s="1">
        <v>0</v>
      </c>
      <c r="DA45" s="1">
        <v>0</v>
      </c>
      <c r="DB45" s="1">
        <v>0</v>
      </c>
      <c r="DC45" s="1">
        <v>0</v>
      </c>
      <c r="DD45" s="1">
        <v>0</v>
      </c>
      <c r="DE45" s="1">
        <v>0</v>
      </c>
      <c r="DF45" s="1">
        <v>0</v>
      </c>
      <c r="DG45" s="1">
        <v>0</v>
      </c>
      <c r="DH45" s="1">
        <v>0</v>
      </c>
      <c r="DI45" s="1">
        <v>0</v>
      </c>
      <c r="DJ45" s="1">
        <v>0</v>
      </c>
      <c r="DK45" s="1">
        <v>0</v>
      </c>
      <c r="DL45" s="1">
        <v>0</v>
      </c>
      <c r="DM45" s="1">
        <v>0</v>
      </c>
      <c r="DN45" s="1">
        <v>0</v>
      </c>
      <c r="DO45" s="1">
        <v>0</v>
      </c>
      <c r="DP45" s="1">
        <v>0</v>
      </c>
      <c r="DQ45" s="1">
        <v>0</v>
      </c>
      <c r="DR45" s="1">
        <v>0</v>
      </c>
      <c r="DS45" s="1">
        <v>0</v>
      </c>
      <c r="DT45" s="1">
        <v>0</v>
      </c>
      <c r="DU45" s="1">
        <v>0</v>
      </c>
      <c r="DV45" s="1">
        <v>0</v>
      </c>
      <c r="DW45" s="1">
        <v>0</v>
      </c>
      <c r="DX45" s="1">
        <v>0</v>
      </c>
      <c r="DY45" s="1">
        <v>0</v>
      </c>
      <c r="DZ45" s="1">
        <v>0</v>
      </c>
      <c r="EA45" s="1">
        <v>0</v>
      </c>
      <c r="EB45" s="1">
        <v>0</v>
      </c>
      <c r="EC45" s="1">
        <v>0</v>
      </c>
      <c r="ED45" s="1">
        <v>0</v>
      </c>
      <c r="EE45" s="1">
        <v>0</v>
      </c>
      <c r="EF45" s="1">
        <v>0</v>
      </c>
      <c r="EG45" s="1">
        <v>0</v>
      </c>
      <c r="EH45" s="1">
        <v>0</v>
      </c>
      <c r="EI45" s="1">
        <v>0</v>
      </c>
      <c r="EJ45" s="1">
        <v>0</v>
      </c>
      <c r="EK45" s="1">
        <v>0</v>
      </c>
      <c r="EL45" s="1">
        <v>0</v>
      </c>
      <c r="EM45" s="1">
        <v>0</v>
      </c>
      <c r="EN45" s="1">
        <v>0</v>
      </c>
      <c r="EO45" s="1">
        <v>0</v>
      </c>
      <c r="EP45" s="1">
        <v>0</v>
      </c>
      <c r="EQ45" s="1">
        <v>0</v>
      </c>
      <c r="ER45" s="1">
        <v>0</v>
      </c>
      <c r="ES45" s="1">
        <v>0</v>
      </c>
      <c r="ET45" s="1">
        <v>0</v>
      </c>
      <c r="EU45" s="1">
        <v>0</v>
      </c>
      <c r="EV45" s="1">
        <v>0</v>
      </c>
      <c r="EW45" s="1">
        <v>0</v>
      </c>
      <c r="EX45" s="1">
        <v>0</v>
      </c>
      <c r="EY45" s="1">
        <v>0</v>
      </c>
      <c r="EZ45" s="1">
        <v>0</v>
      </c>
      <c r="FA45" s="1">
        <v>0</v>
      </c>
      <c r="FB45" s="1">
        <v>0</v>
      </c>
      <c r="FC45" s="1">
        <v>0</v>
      </c>
      <c r="FD45" s="1">
        <v>0</v>
      </c>
      <c r="FE45" s="1">
        <f t="shared" si="0"/>
        <v>0</v>
      </c>
    </row>
    <row r="46" spans="5:161" ht="15.75" thickBot="1" x14ac:dyDescent="0.3">
      <c r="E46" s="1" t="s">
        <v>59</v>
      </c>
      <c r="F46" s="1">
        <v>8</v>
      </c>
      <c r="H46" s="1" t="s">
        <v>130</v>
      </c>
      <c r="I46" s="2">
        <v>34.796756999999999</v>
      </c>
      <c r="J46" s="2">
        <v>-5.5784929999999999</v>
      </c>
      <c r="K46" s="1">
        <f t="shared" si="3"/>
        <v>3.5445756107790656</v>
      </c>
      <c r="L46" s="1">
        <f t="shared" si="22"/>
        <v>2.6973266554941167</v>
      </c>
      <c r="M46" s="1">
        <f t="shared" si="22"/>
        <v>2.1948962762811823</v>
      </c>
      <c r="N46" s="1">
        <f t="shared" si="22"/>
        <v>3.4529195894593321</v>
      </c>
      <c r="O46" s="1">
        <f t="shared" si="22"/>
        <v>3.2516807354272559</v>
      </c>
      <c r="P46" s="1">
        <f t="shared" si="22"/>
        <v>2.2982564375336803</v>
      </c>
      <c r="Q46" s="1">
        <f t="shared" si="22"/>
        <v>3.6156106510425832</v>
      </c>
      <c r="R46" s="1">
        <f t="shared" si="22"/>
        <v>3.9832304165434018</v>
      </c>
      <c r="S46" s="1">
        <f t="shared" si="22"/>
        <v>4.5475981058833606</v>
      </c>
      <c r="T46" s="1">
        <f t="shared" si="22"/>
        <v>5.3230155758216338</v>
      </c>
      <c r="U46" s="1">
        <f t="shared" si="22"/>
        <v>3.2959772562349392</v>
      </c>
      <c r="V46" s="1">
        <f t="shared" si="22"/>
        <v>5.319139427259123</v>
      </c>
      <c r="W46" s="1">
        <f t="shared" si="22"/>
        <v>3.4347216300815089</v>
      </c>
      <c r="X46" s="1">
        <f t="shared" si="22"/>
        <v>4.4437540851979289</v>
      </c>
      <c r="Y46" s="1">
        <f t="shared" si="22"/>
        <v>3.9029698288421342</v>
      </c>
      <c r="Z46" s="1">
        <f t="shared" si="22"/>
        <v>3.0875879373088759</v>
      </c>
      <c r="AA46" s="1">
        <f t="shared" si="22"/>
        <v>4.0991606642087097</v>
      </c>
      <c r="AB46" s="1">
        <f t="shared" si="22"/>
        <v>2.2764961101034209</v>
      </c>
      <c r="AC46" s="1">
        <f t="shared" si="22"/>
        <v>3.2757689275298407</v>
      </c>
      <c r="AD46" s="1">
        <f t="shared" si="22"/>
        <v>4.4762008519055527</v>
      </c>
      <c r="AE46" s="1">
        <f t="shared" si="22"/>
        <v>0.9470922008828464</v>
      </c>
      <c r="AF46" s="1">
        <f t="shared" si="22"/>
        <v>0.90007980014121358</v>
      </c>
      <c r="AG46" s="1">
        <f t="shared" si="22"/>
        <v>1.1013396828232604</v>
      </c>
      <c r="AH46" s="1">
        <f t="shared" si="22"/>
        <v>1.3537606421849453</v>
      </c>
      <c r="AI46" s="1">
        <f t="shared" si="22"/>
        <v>0.81384161412709632</v>
      </c>
      <c r="AJ46" s="1">
        <f t="shared" si="22"/>
        <v>1.2246505095454798</v>
      </c>
      <c r="AK46" s="1">
        <f t="shared" si="22"/>
        <v>1.6655448161203992</v>
      </c>
      <c r="AL46" s="1">
        <f t="shared" si="22"/>
        <v>0.97724789074318186</v>
      </c>
      <c r="AM46" s="1">
        <f t="shared" si="22"/>
        <v>1.6675976378386348</v>
      </c>
      <c r="AN46" s="1">
        <f t="shared" si="22"/>
        <v>7.3363030737141459</v>
      </c>
      <c r="AO46" s="1">
        <f t="shared" si="22"/>
        <v>8.1583247744294187</v>
      </c>
      <c r="AP46" s="1">
        <f t="shared" si="22"/>
        <v>8.4209122654767619</v>
      </c>
      <c r="AQ46" s="1">
        <f t="shared" si="22"/>
        <v>7.1026070635346947</v>
      </c>
      <c r="AR46" s="1">
        <f t="shared" si="22"/>
        <v>1.0060987516942967</v>
      </c>
      <c r="AS46" s="1">
        <f t="shared" si="22"/>
        <v>0.92262171047588493</v>
      </c>
      <c r="AT46" s="1">
        <f t="shared" si="22"/>
        <v>0.79992457914553372</v>
      </c>
      <c r="AU46" s="1">
        <f t="shared" si="22"/>
        <v>0.96495131014581181</v>
      </c>
      <c r="AV46" s="1">
        <f t="shared" si="22"/>
        <v>0.69910029315577382</v>
      </c>
      <c r="AW46" s="1">
        <f t="shared" si="22"/>
        <v>1.7081978707684895</v>
      </c>
      <c r="AX46" s="1">
        <f t="shared" si="22"/>
        <v>0.4800798261511463</v>
      </c>
      <c r="AY46" s="5">
        <v>9999999</v>
      </c>
      <c r="AZ46" s="1">
        <f t="shared" si="22"/>
        <v>5.9460794663488219</v>
      </c>
      <c r="BA46" s="1">
        <f t="shared" si="22"/>
        <v>5.9546884944795986</v>
      </c>
      <c r="BB46" s="1">
        <f t="shared" si="22"/>
        <v>6.0853310417553015</v>
      </c>
      <c r="BC46" s="1">
        <f t="shared" si="22"/>
        <v>5.4330299827280646</v>
      </c>
      <c r="BD46" s="1">
        <f t="shared" si="22"/>
        <v>6.5754553006937284</v>
      </c>
      <c r="BE46" s="1">
        <f t="shared" si="22"/>
        <v>5.5878084888434927</v>
      </c>
      <c r="BF46" s="1">
        <f t="shared" si="22"/>
        <v>2.369230689212833</v>
      </c>
      <c r="BG46" s="1">
        <f t="shared" si="22"/>
        <v>2.1192332875925035</v>
      </c>
      <c r="BH46" s="1">
        <f t="shared" si="22"/>
        <v>3.3137362053737229</v>
      </c>
      <c r="BI46" s="1">
        <f t="shared" si="22"/>
        <v>2.4843579594142606</v>
      </c>
      <c r="BJ46" s="1">
        <f t="shared" si="22"/>
        <v>2.3588623513984439</v>
      </c>
      <c r="BK46" s="1">
        <f t="shared" si="22"/>
        <v>1.9436420499372495</v>
      </c>
      <c r="BL46" s="1">
        <f t="shared" si="22"/>
        <v>2.5196654593520962</v>
      </c>
      <c r="BM46" s="1">
        <f t="shared" si="22"/>
        <v>2.7178917597056715</v>
      </c>
      <c r="BN46" s="1">
        <f t="shared" si="22"/>
        <v>3.5641715114903372</v>
      </c>
      <c r="BO46" s="1">
        <f t="shared" si="22"/>
        <v>14.889501564870386</v>
      </c>
      <c r="BP46" s="1">
        <f t="shared" si="22"/>
        <v>15.508970039991329</v>
      </c>
      <c r="BQ46" s="1">
        <f t="shared" si="22"/>
        <v>2.5815889640025973</v>
      </c>
      <c r="BR46" s="1">
        <f t="shared" si="22"/>
        <v>3.0485209372855788</v>
      </c>
      <c r="BS46" s="1">
        <f t="shared" si="22"/>
        <v>2.6188309335002757</v>
      </c>
      <c r="BT46" s="1">
        <f t="shared" si="22"/>
        <v>1.8632164625168506</v>
      </c>
      <c r="BU46" s="1">
        <f t="shared" si="22"/>
        <v>2.3288956599697621</v>
      </c>
      <c r="BV46" s="1">
        <f t="shared" si="22"/>
        <v>1.4751421238855733</v>
      </c>
      <c r="BW46" s="1">
        <f t="shared" si="22"/>
        <v>1.4463142964100169</v>
      </c>
      <c r="BX46" s="1">
        <f t="shared" si="21"/>
        <v>1.6709069612758467</v>
      </c>
      <c r="BY46" s="1">
        <f t="shared" si="21"/>
        <v>1.1254529274674265</v>
      </c>
      <c r="BZ46" s="1">
        <f t="shared" si="21"/>
        <v>1.085454250276815</v>
      </c>
      <c r="CA46" s="1">
        <f t="shared" si="21"/>
        <v>0.58563361285533766</v>
      </c>
      <c r="CB46" s="1">
        <f t="shared" si="21"/>
        <v>0.64021293195389239</v>
      </c>
      <c r="CC46" s="1">
        <f t="shared" si="21"/>
        <v>10.789859152908614</v>
      </c>
      <c r="CD46" s="1">
        <f t="shared" si="21"/>
        <v>12.428920154082297</v>
      </c>
      <c r="CE46" s="1">
        <f t="shared" si="21"/>
        <v>10.049106109085509</v>
      </c>
      <c r="CF46" s="1">
        <f t="shared" si="21"/>
        <v>10.100385680165784</v>
      </c>
      <c r="CH46" s="1" t="s">
        <v>58</v>
      </c>
      <c r="CI46" s="1">
        <v>0</v>
      </c>
      <c r="CJ46" s="1">
        <v>0</v>
      </c>
      <c r="CK46" s="1">
        <v>0</v>
      </c>
      <c r="CL46" s="1">
        <v>0</v>
      </c>
      <c r="CM46" s="1">
        <v>0</v>
      </c>
      <c r="CN46" s="1">
        <v>0</v>
      </c>
      <c r="CO46" s="1">
        <v>0</v>
      </c>
      <c r="CP46" s="1">
        <v>0</v>
      </c>
      <c r="CQ46" s="1">
        <v>0</v>
      </c>
      <c r="CR46" s="1">
        <v>0</v>
      </c>
      <c r="CS46" s="1">
        <v>0</v>
      </c>
      <c r="CT46" s="1">
        <v>0</v>
      </c>
      <c r="CU46" s="1">
        <v>0</v>
      </c>
      <c r="CV46" s="1">
        <v>0</v>
      </c>
      <c r="CW46" s="1">
        <v>0</v>
      </c>
      <c r="CX46" s="1">
        <v>0</v>
      </c>
      <c r="CY46" s="1">
        <v>0</v>
      </c>
      <c r="CZ46" s="1">
        <v>0</v>
      </c>
      <c r="DA46" s="1">
        <v>0</v>
      </c>
      <c r="DB46" s="1">
        <v>0</v>
      </c>
      <c r="DC46" s="1">
        <v>0</v>
      </c>
      <c r="DD46" s="1">
        <v>0</v>
      </c>
      <c r="DE46" s="1">
        <v>0</v>
      </c>
      <c r="DF46" s="1">
        <v>0</v>
      </c>
      <c r="DG46" s="1">
        <v>0</v>
      </c>
      <c r="DH46" s="1">
        <v>0</v>
      </c>
      <c r="DI46" s="1">
        <v>0</v>
      </c>
      <c r="DJ46" s="1">
        <v>0</v>
      </c>
      <c r="DK46" s="1">
        <v>0</v>
      </c>
      <c r="DL46" s="1">
        <v>0</v>
      </c>
      <c r="DM46" s="1">
        <v>0</v>
      </c>
      <c r="DN46" s="1">
        <v>0</v>
      </c>
      <c r="DO46" s="1">
        <v>0</v>
      </c>
      <c r="DP46" s="1">
        <v>0</v>
      </c>
      <c r="DQ46" s="1">
        <v>0</v>
      </c>
      <c r="DR46" s="1">
        <v>0</v>
      </c>
      <c r="DS46" s="1">
        <v>0</v>
      </c>
      <c r="DT46" s="1">
        <v>0</v>
      </c>
      <c r="DU46" s="1">
        <v>0</v>
      </c>
      <c r="DV46" s="1">
        <v>0</v>
      </c>
      <c r="DW46" s="1">
        <v>0</v>
      </c>
      <c r="DX46" s="1">
        <v>1</v>
      </c>
      <c r="DY46" s="1">
        <v>0</v>
      </c>
      <c r="DZ46" s="1">
        <v>0</v>
      </c>
      <c r="EA46" s="1">
        <v>0</v>
      </c>
      <c r="EB46" s="1">
        <v>0</v>
      </c>
      <c r="EC46" s="1">
        <v>0</v>
      </c>
      <c r="ED46" s="1">
        <v>0</v>
      </c>
      <c r="EE46" s="1">
        <v>0</v>
      </c>
      <c r="EF46" s="1">
        <v>0</v>
      </c>
      <c r="EG46" s="1">
        <v>0</v>
      </c>
      <c r="EH46" s="1">
        <v>0</v>
      </c>
      <c r="EI46" s="1">
        <v>0</v>
      </c>
      <c r="EJ46" s="1">
        <v>0</v>
      </c>
      <c r="EK46" s="1">
        <v>0</v>
      </c>
      <c r="EL46" s="1">
        <v>0</v>
      </c>
      <c r="EM46" s="1">
        <v>0</v>
      </c>
      <c r="EN46" s="1">
        <v>0</v>
      </c>
      <c r="EO46" s="1">
        <v>0</v>
      </c>
      <c r="EP46" s="1">
        <v>0</v>
      </c>
      <c r="EQ46" s="1">
        <v>0</v>
      </c>
      <c r="ER46" s="1">
        <v>0</v>
      </c>
      <c r="ES46" s="1">
        <v>0</v>
      </c>
      <c r="ET46" s="1">
        <v>0</v>
      </c>
      <c r="EU46" s="1">
        <v>0</v>
      </c>
      <c r="EV46" s="1">
        <v>0</v>
      </c>
      <c r="EW46" s="1">
        <v>0</v>
      </c>
      <c r="EX46" s="1">
        <v>0</v>
      </c>
      <c r="EY46" s="1">
        <v>0</v>
      </c>
      <c r="EZ46" s="1">
        <v>0</v>
      </c>
      <c r="FA46" s="1">
        <v>0</v>
      </c>
      <c r="FB46" s="1">
        <v>0</v>
      </c>
      <c r="FC46" s="1">
        <v>0</v>
      </c>
      <c r="FD46" s="1">
        <v>0</v>
      </c>
      <c r="FE46" s="1">
        <f t="shared" si="0"/>
        <v>0</v>
      </c>
    </row>
    <row r="47" spans="5:161" ht="15.75" thickBot="1" x14ac:dyDescent="0.3">
      <c r="E47" s="1" t="s">
        <v>60</v>
      </c>
      <c r="F47" s="1">
        <v>5</v>
      </c>
      <c r="H47" s="1" t="s">
        <v>131</v>
      </c>
      <c r="I47" s="2">
        <v>30.420949199999999</v>
      </c>
      <c r="J47" s="2">
        <v>-9.6044298000000001</v>
      </c>
      <c r="K47" s="1">
        <f t="shared" si="3"/>
        <v>8.6785740259421829</v>
      </c>
      <c r="L47" s="1">
        <f t="shared" si="22"/>
        <v>8.2272492675612003</v>
      </c>
      <c r="M47" s="1">
        <f t="shared" si="22"/>
        <v>7.7047842224775955</v>
      </c>
      <c r="N47" s="1">
        <f t="shared" si="22"/>
        <v>8.3993270142620275</v>
      </c>
      <c r="O47" s="1">
        <f t="shared" si="22"/>
        <v>8.5573069067292966</v>
      </c>
      <c r="P47" s="1">
        <f t="shared" si="22"/>
        <v>7.3187259433366725</v>
      </c>
      <c r="Q47" s="1">
        <f t="shared" si="22"/>
        <v>7.3403552434443515</v>
      </c>
      <c r="R47" s="1">
        <f t="shared" si="22"/>
        <v>2.0151479654390778</v>
      </c>
      <c r="S47" s="1">
        <f t="shared" si="22"/>
        <v>1.4076934797233991</v>
      </c>
      <c r="T47" s="1">
        <f t="shared" si="22"/>
        <v>1.1041423984737</v>
      </c>
      <c r="U47" s="1">
        <f t="shared" si="22"/>
        <v>2.7381901664494896</v>
      </c>
      <c r="V47" s="1">
        <f t="shared" si="22"/>
        <v>1.1022130500613119</v>
      </c>
      <c r="W47" s="1">
        <f t="shared" si="22"/>
        <v>8.7109797860311033</v>
      </c>
      <c r="X47" s="1">
        <f t="shared" si="22"/>
        <v>1.8816462593131962</v>
      </c>
      <c r="Y47" s="1">
        <f t="shared" si="22"/>
        <v>2.1164234848554964</v>
      </c>
      <c r="Z47" s="1">
        <f t="shared" si="22"/>
        <v>5.3858142812591359</v>
      </c>
      <c r="AA47" s="1">
        <f t="shared" si="22"/>
        <v>2.7393837360772735</v>
      </c>
      <c r="AB47" s="1">
        <f t="shared" si="22"/>
        <v>5.3636328902079677</v>
      </c>
      <c r="AC47" s="1">
        <f t="shared" si="22"/>
        <v>4.2192810030215187</v>
      </c>
      <c r="AD47" s="1">
        <f t="shared" si="22"/>
        <v>3.7684364158529045</v>
      </c>
      <c r="AE47" s="1">
        <f t="shared" si="22"/>
        <v>5.8404433606158284</v>
      </c>
      <c r="AF47" s="1">
        <f t="shared" si="22"/>
        <v>5.3547577354979321</v>
      </c>
      <c r="AG47" s="1">
        <f t="shared" si="22"/>
        <v>5.2582316546146348</v>
      </c>
      <c r="AH47" s="1">
        <f t="shared" si="22"/>
        <v>5.4657584404498607</v>
      </c>
      <c r="AI47" s="1">
        <f t="shared" si="22"/>
        <v>5.7466458991989846</v>
      </c>
      <c r="AJ47" s="1">
        <f t="shared" si="22"/>
        <v>5.8609046640787348</v>
      </c>
      <c r="AK47" s="1">
        <f t="shared" si="22"/>
        <v>5.6942563360092526</v>
      </c>
      <c r="AL47" s="1">
        <f t="shared" si="22"/>
        <v>6.4528583780709088</v>
      </c>
      <c r="AM47" s="1">
        <f t="shared" si="22"/>
        <v>6.7680521557756421</v>
      </c>
      <c r="AN47" s="1">
        <f t="shared" si="22"/>
        <v>1.5043894681644392</v>
      </c>
      <c r="AO47" s="1">
        <f t="shared" si="22"/>
        <v>3.057964992874477</v>
      </c>
      <c r="AP47" s="1">
        <f t="shared" si="22"/>
        <v>2.4832632423132406</v>
      </c>
      <c r="AQ47" s="1">
        <f t="shared" si="22"/>
        <v>1.1861860444326475</v>
      </c>
      <c r="AR47" s="1">
        <f t="shared" si="22"/>
        <v>6.5681841905727065</v>
      </c>
      <c r="AS47" s="1">
        <f t="shared" si="22"/>
        <v>6.7839336721448005</v>
      </c>
      <c r="AT47" s="1">
        <f t="shared" si="22"/>
        <v>6.6639863426143426</v>
      </c>
      <c r="AU47" s="1">
        <f t="shared" si="22"/>
        <v>6.6419096327512026</v>
      </c>
      <c r="AV47" s="1">
        <f t="shared" si="22"/>
        <v>5.8912436003830706</v>
      </c>
      <c r="AW47" s="1">
        <f t="shared" si="22"/>
        <v>7.4477922043648279</v>
      </c>
      <c r="AX47" s="1">
        <f t="shared" si="22"/>
        <v>6.4252532970470533</v>
      </c>
      <c r="AY47" s="1">
        <f t="shared" si="22"/>
        <v>5.9460794663488219</v>
      </c>
      <c r="AZ47" s="5">
        <v>9999999</v>
      </c>
      <c r="BA47" s="1">
        <f t="shared" si="22"/>
        <v>8.7190101810354123E-2</v>
      </c>
      <c r="BB47" s="1">
        <f t="shared" si="22"/>
        <v>0.4938746413626644</v>
      </c>
      <c r="BC47" s="1">
        <f t="shared" si="22"/>
        <v>0.73926308134417196</v>
      </c>
      <c r="BD47" s="1">
        <f t="shared" si="22"/>
        <v>0.73337919819690145</v>
      </c>
      <c r="BE47" s="1">
        <f t="shared" si="22"/>
        <v>1.7685245872766173</v>
      </c>
      <c r="BF47" s="1">
        <f t="shared" si="22"/>
        <v>3.7429086276548369</v>
      </c>
      <c r="BG47" s="1">
        <f t="shared" si="22"/>
        <v>3.9536779440691889</v>
      </c>
      <c r="BH47" s="1">
        <f t="shared" si="22"/>
        <v>3.0216497313393904</v>
      </c>
      <c r="BI47" s="1">
        <f t="shared" si="22"/>
        <v>3.5630168019389559</v>
      </c>
      <c r="BJ47" s="1">
        <f t="shared" si="22"/>
        <v>3.6824230451140858</v>
      </c>
      <c r="BK47" s="1">
        <f t="shared" si="22"/>
        <v>4.0461377254876734</v>
      </c>
      <c r="BL47" s="1">
        <f t="shared" si="22"/>
        <v>3.4924949269918852</v>
      </c>
      <c r="BM47" s="1">
        <f t="shared" si="22"/>
        <v>3.2561268788652411</v>
      </c>
      <c r="BN47" s="1">
        <f t="shared" si="22"/>
        <v>2.5229077814667002</v>
      </c>
      <c r="BO47" s="1">
        <f t="shared" si="22"/>
        <v>8.9594321239075398</v>
      </c>
      <c r="BP47" s="1">
        <f t="shared" si="22"/>
        <v>9.6504666365270371</v>
      </c>
      <c r="BQ47" s="1">
        <f t="shared" si="22"/>
        <v>3.7722830271369459</v>
      </c>
      <c r="BR47" s="1">
        <f t="shared" si="22"/>
        <v>3.4875696417572741</v>
      </c>
      <c r="BS47" s="1">
        <f t="shared" si="22"/>
        <v>3.4533212041793053</v>
      </c>
      <c r="BT47" s="1">
        <f t="shared" si="22"/>
        <v>4.6697774718004617</v>
      </c>
      <c r="BU47" s="1">
        <f t="shared" si="22"/>
        <v>3.6521375819435793</v>
      </c>
      <c r="BV47" s="1">
        <f t="shared" si="22"/>
        <v>4.5437119209402352</v>
      </c>
      <c r="BW47" s="1">
        <f t="shared" ref="BW47:CF50" si="23">SQRT(POWER($I47-BW$4,2)+POWER(BW$5-$J47,2))</f>
        <v>4.5737668576817372</v>
      </c>
      <c r="BX47" s="1">
        <f t="shared" si="23"/>
        <v>4.3006472683017067</v>
      </c>
      <c r="BY47" s="1">
        <f t="shared" si="23"/>
        <v>4.8969540999083581</v>
      </c>
      <c r="BZ47" s="1">
        <f t="shared" si="23"/>
        <v>4.9089072768187298</v>
      </c>
      <c r="CA47" s="1">
        <f t="shared" si="23"/>
        <v>5.4439841495913193</v>
      </c>
      <c r="CB47" s="1">
        <f t="shared" si="23"/>
        <v>5.3159198216233179</v>
      </c>
      <c r="CC47" s="1">
        <f t="shared" si="23"/>
        <v>4.8543405547576812</v>
      </c>
      <c r="CD47" s="1">
        <f t="shared" si="23"/>
        <v>6.5000394570603293</v>
      </c>
      <c r="CE47" s="1">
        <f t="shared" si="23"/>
        <v>4.1449552659292221</v>
      </c>
      <c r="CF47" s="1">
        <f t="shared" si="23"/>
        <v>4.2208965000469609</v>
      </c>
      <c r="CH47" s="1" t="s">
        <v>59</v>
      </c>
      <c r="CI47" s="1">
        <v>0</v>
      </c>
      <c r="CJ47" s="1">
        <v>0</v>
      </c>
      <c r="CK47" s="1">
        <v>0</v>
      </c>
      <c r="CL47" s="1">
        <v>0</v>
      </c>
      <c r="CM47" s="1">
        <v>0</v>
      </c>
      <c r="CN47" s="1">
        <v>0</v>
      </c>
      <c r="CO47" s="1">
        <v>0</v>
      </c>
      <c r="CP47" s="1">
        <v>0</v>
      </c>
      <c r="CQ47" s="1">
        <v>0</v>
      </c>
      <c r="CR47" s="1">
        <v>0</v>
      </c>
      <c r="CS47" s="1">
        <v>0</v>
      </c>
      <c r="CT47" s="1">
        <v>0</v>
      </c>
      <c r="CU47" s="1">
        <v>0</v>
      </c>
      <c r="CV47" s="1">
        <v>0</v>
      </c>
      <c r="CW47" s="1">
        <v>0</v>
      </c>
      <c r="CX47" s="1">
        <v>0</v>
      </c>
      <c r="CY47" s="1">
        <v>0</v>
      </c>
      <c r="CZ47" s="1">
        <v>0</v>
      </c>
      <c r="DA47" s="1">
        <v>0</v>
      </c>
      <c r="DB47" s="1">
        <v>0</v>
      </c>
      <c r="DC47" s="1">
        <v>0</v>
      </c>
      <c r="DD47" s="1">
        <v>0</v>
      </c>
      <c r="DE47" s="1">
        <v>0</v>
      </c>
      <c r="DF47" s="1">
        <v>0</v>
      </c>
      <c r="DG47" s="1">
        <v>0</v>
      </c>
      <c r="DH47" s="1">
        <v>0</v>
      </c>
      <c r="DI47" s="1">
        <v>0</v>
      </c>
      <c r="DJ47" s="1">
        <v>0</v>
      </c>
      <c r="DK47" s="1">
        <v>0</v>
      </c>
      <c r="DL47" s="1">
        <v>0</v>
      </c>
      <c r="DM47" s="1">
        <v>0</v>
      </c>
      <c r="DN47" s="1">
        <v>0</v>
      </c>
      <c r="DO47" s="1">
        <v>0</v>
      </c>
      <c r="DP47" s="1">
        <v>0</v>
      </c>
      <c r="DQ47" s="1">
        <v>0</v>
      </c>
      <c r="DR47" s="1">
        <v>0</v>
      </c>
      <c r="DS47" s="1">
        <v>0</v>
      </c>
      <c r="DT47" s="1">
        <v>0</v>
      </c>
      <c r="DU47" s="1">
        <v>0</v>
      </c>
      <c r="DV47" s="1">
        <v>0</v>
      </c>
      <c r="DW47" s="1">
        <v>0</v>
      </c>
      <c r="DX47" s="1">
        <v>0</v>
      </c>
      <c r="DY47" s="1">
        <v>0</v>
      </c>
      <c r="DZ47" s="1">
        <v>0</v>
      </c>
      <c r="EA47" s="1">
        <v>1</v>
      </c>
      <c r="EB47" s="1">
        <v>0</v>
      </c>
      <c r="EC47" s="1">
        <v>0</v>
      </c>
      <c r="ED47" s="1">
        <v>0</v>
      </c>
      <c r="EE47" s="1">
        <v>0</v>
      </c>
      <c r="EF47" s="1">
        <v>0</v>
      </c>
      <c r="EG47" s="1">
        <v>0</v>
      </c>
      <c r="EH47" s="1">
        <v>0</v>
      </c>
      <c r="EI47" s="1">
        <v>0</v>
      </c>
      <c r="EJ47" s="1">
        <v>0</v>
      </c>
      <c r="EK47" s="1">
        <v>0</v>
      </c>
      <c r="EL47" s="1">
        <v>0</v>
      </c>
      <c r="EM47" s="1">
        <v>0</v>
      </c>
      <c r="EN47" s="1">
        <v>0</v>
      </c>
      <c r="EO47" s="1">
        <v>0</v>
      </c>
      <c r="EP47" s="1">
        <v>0</v>
      </c>
      <c r="EQ47" s="1">
        <v>0</v>
      </c>
      <c r="ER47" s="1">
        <v>0</v>
      </c>
      <c r="ES47" s="1">
        <v>0</v>
      </c>
      <c r="ET47" s="1">
        <v>0</v>
      </c>
      <c r="EU47" s="1">
        <v>0</v>
      </c>
      <c r="EV47" s="1">
        <v>0</v>
      </c>
      <c r="EW47" s="1">
        <v>0</v>
      </c>
      <c r="EX47" s="1">
        <v>0</v>
      </c>
      <c r="EY47" s="1">
        <v>0</v>
      </c>
      <c r="EZ47" s="1">
        <v>0</v>
      </c>
      <c r="FA47" s="1">
        <v>0</v>
      </c>
      <c r="FB47" s="1">
        <v>0</v>
      </c>
      <c r="FC47" s="1">
        <v>0</v>
      </c>
      <c r="FD47" s="1">
        <v>0</v>
      </c>
      <c r="FE47" s="1">
        <f t="shared" si="0"/>
        <v>0</v>
      </c>
    </row>
    <row r="48" spans="5:161" ht="15.75" thickBot="1" x14ac:dyDescent="0.3">
      <c r="E48" s="1" t="s">
        <v>61</v>
      </c>
      <c r="F48" s="1">
        <v>8</v>
      </c>
      <c r="H48" s="1" t="s">
        <v>132</v>
      </c>
      <c r="I48" s="2">
        <v>30.3562929</v>
      </c>
      <c r="J48" s="2">
        <v>-9.5459347000000001</v>
      </c>
      <c r="K48" s="1">
        <f t="shared" si="3"/>
        <v>8.6596238548545461</v>
      </c>
      <c r="L48" s="1">
        <f t="shared" ref="L48:BW51" si="24">SQRT(POWER($I48-L$4,2)+POWER(L$5-$J48,2))</f>
        <v>8.2177396748365439</v>
      </c>
      <c r="M48" s="1">
        <f t="shared" si="24"/>
        <v>7.6963328432884506</v>
      </c>
      <c r="N48" s="1">
        <f t="shared" si="24"/>
        <v>8.3778482054674459</v>
      </c>
      <c r="O48" s="1">
        <f t="shared" si="24"/>
        <v>8.5420515462656148</v>
      </c>
      <c r="P48" s="1">
        <f t="shared" si="24"/>
        <v>7.3028696469190582</v>
      </c>
      <c r="Q48" s="1">
        <f t="shared" si="24"/>
        <v>7.3053270801970065</v>
      </c>
      <c r="R48" s="1">
        <f t="shared" si="24"/>
        <v>2.0087952872298991</v>
      </c>
      <c r="S48" s="1">
        <f t="shared" si="24"/>
        <v>1.4268707010519244</v>
      </c>
      <c r="T48" s="1">
        <f t="shared" si="24"/>
        <v>1.1777355097080386</v>
      </c>
      <c r="U48" s="1">
        <f t="shared" si="24"/>
        <v>2.7311899220113749</v>
      </c>
      <c r="V48" s="1">
        <f t="shared" si="24"/>
        <v>1.1755785136903441</v>
      </c>
      <c r="W48" s="1">
        <f t="shared" si="24"/>
        <v>8.694720687577961</v>
      </c>
      <c r="X48" s="1">
        <f t="shared" si="24"/>
        <v>1.9346637941429228</v>
      </c>
      <c r="Y48" s="1">
        <f t="shared" si="24"/>
        <v>2.1441582016922403</v>
      </c>
      <c r="Z48" s="1">
        <f t="shared" si="24"/>
        <v>5.3483398255431762</v>
      </c>
      <c r="AA48" s="1">
        <f t="shared" si="24"/>
        <v>2.694674374004566</v>
      </c>
      <c r="AB48" s="1">
        <f t="shared" si="24"/>
        <v>5.3384666181917906</v>
      </c>
      <c r="AC48" s="1">
        <f t="shared" si="24"/>
        <v>4.1803941462444536</v>
      </c>
      <c r="AD48" s="1">
        <f t="shared" si="24"/>
        <v>3.7089033491385166</v>
      </c>
      <c r="AE48" s="1">
        <f t="shared" si="24"/>
        <v>5.8351434824237769</v>
      </c>
      <c r="AF48" s="1">
        <f t="shared" si="24"/>
        <v>5.3529629881900789</v>
      </c>
      <c r="AG48" s="1">
        <f t="shared" si="24"/>
        <v>5.2535178630856754</v>
      </c>
      <c r="AH48" s="1">
        <f t="shared" si="24"/>
        <v>5.4550655085176842</v>
      </c>
      <c r="AI48" s="1">
        <f t="shared" si="24"/>
        <v>5.7435169762924971</v>
      </c>
      <c r="AJ48" s="1">
        <f t="shared" si="24"/>
        <v>5.8514791161712001</v>
      </c>
      <c r="AK48" s="1">
        <f t="shared" si="24"/>
        <v>5.6782386568198833</v>
      </c>
      <c r="AL48" s="1">
        <f t="shared" si="24"/>
        <v>6.4496645772816841</v>
      </c>
      <c r="AM48" s="1">
        <f t="shared" si="24"/>
        <v>6.7566433314833869</v>
      </c>
      <c r="AN48" s="1">
        <f t="shared" si="24"/>
        <v>1.4622858016541931</v>
      </c>
      <c r="AO48" s="1">
        <f t="shared" si="24"/>
        <v>2.9841211681070936</v>
      </c>
      <c r="AP48" s="1">
        <f t="shared" si="24"/>
        <v>2.468305305858757</v>
      </c>
      <c r="AQ48" s="1">
        <f t="shared" si="24"/>
        <v>1.1602876964365398</v>
      </c>
      <c r="AR48" s="1">
        <f t="shared" si="24"/>
        <v>6.5876098582772711</v>
      </c>
      <c r="AS48" s="1">
        <f t="shared" si="24"/>
        <v>6.7977197744436006</v>
      </c>
      <c r="AT48" s="1">
        <f t="shared" si="24"/>
        <v>6.6773714523516521</v>
      </c>
      <c r="AU48" s="1">
        <f t="shared" si="24"/>
        <v>6.6596126912755187</v>
      </c>
      <c r="AV48" s="1">
        <f t="shared" si="24"/>
        <v>5.9099860105329283</v>
      </c>
      <c r="AW48" s="1">
        <f t="shared" si="24"/>
        <v>7.4456165096892359</v>
      </c>
      <c r="AX48" s="1">
        <f t="shared" si="24"/>
        <v>6.4342286295000664</v>
      </c>
      <c r="AY48" s="1">
        <f t="shared" si="24"/>
        <v>5.9546884944795986</v>
      </c>
      <c r="AZ48" s="1">
        <f t="shared" si="24"/>
        <v>8.7190101810354123E-2</v>
      </c>
      <c r="BA48" s="5">
        <v>9999999</v>
      </c>
      <c r="BB48" s="1">
        <f t="shared" si="24"/>
        <v>0.40794547932883757</v>
      </c>
      <c r="BC48" s="1">
        <f t="shared" si="24"/>
        <v>0.68878565606483111</v>
      </c>
      <c r="BD48" s="1">
        <f t="shared" si="24"/>
        <v>0.68328750778676683</v>
      </c>
      <c r="BE48" s="1">
        <f t="shared" si="24"/>
        <v>1.6902053471862435</v>
      </c>
      <c r="BF48" s="1">
        <f t="shared" si="24"/>
        <v>3.7676509338634268</v>
      </c>
      <c r="BG48" s="1">
        <f t="shared" si="24"/>
        <v>3.975362972269501</v>
      </c>
      <c r="BH48" s="1">
        <f t="shared" si="24"/>
        <v>3.0614596102990603</v>
      </c>
      <c r="BI48" s="1">
        <f t="shared" si="24"/>
        <v>3.5851050646315681</v>
      </c>
      <c r="BJ48" s="1">
        <f t="shared" si="24"/>
        <v>3.7035686831600292</v>
      </c>
      <c r="BK48" s="1">
        <f t="shared" si="24"/>
        <v>4.0622415979224789</v>
      </c>
      <c r="BL48" s="1">
        <f t="shared" si="24"/>
        <v>3.5123405407155679</v>
      </c>
      <c r="BM48" s="1">
        <f t="shared" si="24"/>
        <v>3.2728586423828503</v>
      </c>
      <c r="BN48" s="1">
        <f t="shared" si="24"/>
        <v>2.5540040328792952</v>
      </c>
      <c r="BO48" s="1">
        <f t="shared" si="24"/>
        <v>8.9436955703237491</v>
      </c>
      <c r="BP48" s="1">
        <f t="shared" si="24"/>
        <v>9.6242332380135647</v>
      </c>
      <c r="BQ48" s="1">
        <f t="shared" si="24"/>
        <v>3.755633322093638</v>
      </c>
      <c r="BR48" s="1">
        <f t="shared" si="24"/>
        <v>3.4622304514251079</v>
      </c>
      <c r="BS48" s="1">
        <f t="shared" si="24"/>
        <v>3.4469458820378556</v>
      </c>
      <c r="BT48" s="1">
        <f t="shared" si="24"/>
        <v>4.656102594442233</v>
      </c>
      <c r="BU48" s="1">
        <f t="shared" si="24"/>
        <v>3.65364181466368</v>
      </c>
      <c r="BV48" s="1">
        <f t="shared" si="24"/>
        <v>4.560100589828985</v>
      </c>
      <c r="BW48" s="1">
        <f t="shared" si="24"/>
        <v>4.590110620508888</v>
      </c>
      <c r="BX48" s="1">
        <f t="shared" si="23"/>
        <v>4.3144601961236031</v>
      </c>
      <c r="BY48" s="1">
        <f t="shared" si="23"/>
        <v>4.9122104384564897</v>
      </c>
      <c r="BZ48" s="1">
        <f t="shared" si="23"/>
        <v>4.9124997925431906</v>
      </c>
      <c r="CA48" s="1">
        <f t="shared" si="23"/>
        <v>5.4480471241065205</v>
      </c>
      <c r="CB48" s="1">
        <f t="shared" si="23"/>
        <v>5.322859558438199</v>
      </c>
      <c r="CC48" s="1">
        <f t="shared" si="23"/>
        <v>4.8548882835776519</v>
      </c>
      <c r="CD48" s="1">
        <f t="shared" si="23"/>
        <v>6.501814290717399</v>
      </c>
      <c r="CE48" s="1">
        <f t="shared" si="23"/>
        <v>4.1540254269565962</v>
      </c>
      <c r="CF48" s="1">
        <f t="shared" si="23"/>
        <v>4.1939513274780031</v>
      </c>
      <c r="CH48" s="1" t="s">
        <v>60</v>
      </c>
      <c r="CI48" s="1">
        <v>0</v>
      </c>
      <c r="CJ48" s="1">
        <v>0</v>
      </c>
      <c r="CK48" s="1">
        <v>0</v>
      </c>
      <c r="CL48" s="1">
        <v>0</v>
      </c>
      <c r="CM48" s="1">
        <v>0</v>
      </c>
      <c r="CN48" s="1">
        <v>0</v>
      </c>
      <c r="CO48" s="1">
        <v>0</v>
      </c>
      <c r="CP48" s="1">
        <v>0</v>
      </c>
      <c r="CQ48" s="1">
        <v>0</v>
      </c>
      <c r="CR48" s="1">
        <v>0</v>
      </c>
      <c r="CS48" s="1">
        <v>0</v>
      </c>
      <c r="CT48" s="1">
        <v>0</v>
      </c>
      <c r="CU48" s="1">
        <v>0</v>
      </c>
      <c r="CV48" s="1">
        <v>0</v>
      </c>
      <c r="CW48" s="1">
        <v>0</v>
      </c>
      <c r="CX48" s="1">
        <v>0</v>
      </c>
      <c r="CY48" s="1">
        <v>1</v>
      </c>
      <c r="CZ48" s="1">
        <v>0</v>
      </c>
      <c r="DA48" s="1">
        <v>0</v>
      </c>
      <c r="DB48" s="1">
        <v>0</v>
      </c>
      <c r="DC48" s="1">
        <v>0</v>
      </c>
      <c r="DD48" s="1">
        <v>0</v>
      </c>
      <c r="DE48" s="1">
        <v>0</v>
      </c>
      <c r="DF48" s="1">
        <v>0</v>
      </c>
      <c r="DG48" s="1">
        <v>0</v>
      </c>
      <c r="DH48" s="1">
        <v>0</v>
      </c>
      <c r="DI48" s="1">
        <v>0</v>
      </c>
      <c r="DJ48" s="1">
        <v>0</v>
      </c>
      <c r="DK48" s="1">
        <v>0</v>
      </c>
      <c r="DL48" s="1">
        <v>0</v>
      </c>
      <c r="DM48" s="1">
        <v>0</v>
      </c>
      <c r="DN48" s="1">
        <v>0</v>
      </c>
      <c r="DO48" s="1">
        <v>0</v>
      </c>
      <c r="DP48" s="1">
        <v>0</v>
      </c>
      <c r="DQ48" s="1">
        <v>0</v>
      </c>
      <c r="DR48" s="1">
        <v>0</v>
      </c>
      <c r="DS48" s="1">
        <v>0</v>
      </c>
      <c r="DT48" s="1">
        <v>0</v>
      </c>
      <c r="DU48" s="1">
        <v>0</v>
      </c>
      <c r="DV48" s="1">
        <v>0</v>
      </c>
      <c r="DW48" s="1">
        <v>0</v>
      </c>
      <c r="DX48" s="1">
        <v>0</v>
      </c>
      <c r="DY48" s="1">
        <v>0</v>
      </c>
      <c r="DZ48" s="1">
        <v>0</v>
      </c>
      <c r="EA48" s="1">
        <v>0</v>
      </c>
      <c r="EB48" s="1">
        <v>0</v>
      </c>
      <c r="EC48" s="1">
        <v>0</v>
      </c>
      <c r="ED48" s="1">
        <v>0</v>
      </c>
      <c r="EE48" s="1">
        <v>0</v>
      </c>
      <c r="EF48" s="1">
        <v>0</v>
      </c>
      <c r="EG48" s="1">
        <v>0</v>
      </c>
      <c r="EH48" s="1">
        <v>0</v>
      </c>
      <c r="EI48" s="1">
        <v>0</v>
      </c>
      <c r="EJ48" s="1">
        <v>0</v>
      </c>
      <c r="EK48" s="1">
        <v>0</v>
      </c>
      <c r="EL48" s="1">
        <v>0</v>
      </c>
      <c r="EM48" s="1">
        <v>0</v>
      </c>
      <c r="EN48" s="1">
        <v>0</v>
      </c>
      <c r="EO48" s="1">
        <v>0</v>
      </c>
      <c r="EP48" s="1">
        <v>0</v>
      </c>
      <c r="EQ48" s="1">
        <v>0</v>
      </c>
      <c r="ER48" s="1">
        <v>0</v>
      </c>
      <c r="ES48" s="1">
        <v>0</v>
      </c>
      <c r="ET48" s="1">
        <v>0</v>
      </c>
      <c r="EU48" s="1">
        <v>0</v>
      </c>
      <c r="EV48" s="1">
        <v>0</v>
      </c>
      <c r="EW48" s="1">
        <v>0</v>
      </c>
      <c r="EX48" s="1">
        <v>0</v>
      </c>
      <c r="EY48" s="1">
        <v>0</v>
      </c>
      <c r="EZ48" s="1">
        <v>0</v>
      </c>
      <c r="FA48" s="1">
        <v>0</v>
      </c>
      <c r="FB48" s="1">
        <v>0</v>
      </c>
      <c r="FC48" s="1">
        <v>0</v>
      </c>
      <c r="FD48" s="1">
        <v>0</v>
      </c>
      <c r="FE48" s="1">
        <f t="shared" si="0"/>
        <v>0</v>
      </c>
    </row>
    <row r="49" spans="5:161" ht="15.75" thickBot="1" x14ac:dyDescent="0.3">
      <c r="E49" s="1" t="s">
        <v>62</v>
      </c>
      <c r="F49" s="1">
        <v>9</v>
      </c>
      <c r="H49" s="1" t="s">
        <v>133</v>
      </c>
      <c r="I49" s="2">
        <v>30.008060149999999</v>
      </c>
      <c r="J49" s="2">
        <v>-9.3334412508485691</v>
      </c>
      <c r="K49" s="1">
        <f t="shared" si="3"/>
        <v>8.658358298017232</v>
      </c>
      <c r="L49" s="1">
        <f t="shared" si="24"/>
        <v>8.2617744028674895</v>
      </c>
      <c r="M49" s="1">
        <f t="shared" si="24"/>
        <v>7.7461161596722281</v>
      </c>
      <c r="N49" s="1">
        <f t="shared" si="24"/>
        <v>8.3647962365767849</v>
      </c>
      <c r="O49" s="1">
        <f t="shared" si="24"/>
        <v>8.5585775064903142</v>
      </c>
      <c r="P49" s="1">
        <f t="shared" si="24"/>
        <v>7.318534847011116</v>
      </c>
      <c r="Q49" s="1">
        <f t="shared" si="24"/>
        <v>7.2270966682820079</v>
      </c>
      <c r="R49" s="1">
        <f t="shared" si="24"/>
        <v>2.103391381864165</v>
      </c>
      <c r="S49" s="1">
        <f t="shared" si="24"/>
        <v>1.6423744304178656</v>
      </c>
      <c r="T49" s="1">
        <f t="shared" si="24"/>
        <v>1.5663203112459509</v>
      </c>
      <c r="U49" s="1">
        <f t="shared" si="24"/>
        <v>2.8105730628095111</v>
      </c>
      <c r="V49" s="1">
        <f t="shared" si="24"/>
        <v>1.5636681408744086</v>
      </c>
      <c r="W49" s="1">
        <f t="shared" si="24"/>
        <v>8.7062689355823721</v>
      </c>
      <c r="X49" s="1">
        <f t="shared" si="24"/>
        <v>2.2593613144642664</v>
      </c>
      <c r="Y49" s="1">
        <f t="shared" si="24"/>
        <v>2.3767811673823074</v>
      </c>
      <c r="Z49" s="1">
        <f t="shared" si="24"/>
        <v>5.2625170450786696</v>
      </c>
      <c r="AA49" s="1">
        <f t="shared" si="24"/>
        <v>2.58854805088558</v>
      </c>
      <c r="AB49" s="1">
        <f t="shared" si="24"/>
        <v>5.314298240895674</v>
      </c>
      <c r="AC49" s="1">
        <f t="shared" si="24"/>
        <v>4.0923462623829341</v>
      </c>
      <c r="AD49" s="1">
        <f t="shared" si="24"/>
        <v>3.5109134614685815</v>
      </c>
      <c r="AE49" s="1">
        <f t="shared" si="24"/>
        <v>5.9035657965503683</v>
      </c>
      <c r="AF49" s="1">
        <f t="shared" si="24"/>
        <v>5.4388756569663386</v>
      </c>
      <c r="AG49" s="1">
        <f t="shared" si="24"/>
        <v>5.3264690601287832</v>
      </c>
      <c r="AH49" s="1">
        <f t="shared" si="24"/>
        <v>5.4996866263851123</v>
      </c>
      <c r="AI49" s="1">
        <f t="shared" si="24"/>
        <v>5.8221419030053383</v>
      </c>
      <c r="AJ49" s="1">
        <f t="shared" si="24"/>
        <v>5.9007794774849431</v>
      </c>
      <c r="AK49" s="1">
        <f t="shared" si="24"/>
        <v>5.6970646835135215</v>
      </c>
      <c r="AL49" s="1">
        <f t="shared" si="24"/>
        <v>6.5261534190084776</v>
      </c>
      <c r="AM49" s="1">
        <f t="shared" si="24"/>
        <v>6.7944097910465011</v>
      </c>
      <c r="AN49" s="1">
        <f t="shared" si="24"/>
        <v>1.2521927954858236</v>
      </c>
      <c r="AO49" s="1">
        <f t="shared" si="24"/>
        <v>2.6098079910762948</v>
      </c>
      <c r="AP49" s="1">
        <f t="shared" si="24"/>
        <v>2.3627323298086154</v>
      </c>
      <c r="AQ49" s="1">
        <f t="shared" si="24"/>
        <v>1.0478585053307128</v>
      </c>
      <c r="AR49" s="1">
        <f t="shared" si="24"/>
        <v>6.7637312850361671</v>
      </c>
      <c r="AS49" s="1">
        <f t="shared" si="24"/>
        <v>6.9491677111571102</v>
      </c>
      <c r="AT49" s="1">
        <f t="shared" si="24"/>
        <v>6.8273053556136691</v>
      </c>
      <c r="AU49" s="1">
        <f t="shared" si="24"/>
        <v>6.8282313627335984</v>
      </c>
      <c r="AV49" s="1">
        <f t="shared" si="24"/>
        <v>6.0846133006066507</v>
      </c>
      <c r="AW49" s="1">
        <f t="shared" si="24"/>
        <v>7.5247525097920978</v>
      </c>
      <c r="AX49" s="1">
        <f t="shared" si="24"/>
        <v>6.5653613687674834</v>
      </c>
      <c r="AY49" s="1">
        <f t="shared" si="24"/>
        <v>6.0853310417553015</v>
      </c>
      <c r="AZ49" s="1">
        <f t="shared" si="24"/>
        <v>0.4938746413626644</v>
      </c>
      <c r="BA49" s="1">
        <f t="shared" si="24"/>
        <v>0.40794547932883757</v>
      </c>
      <c r="BB49" s="5">
        <v>9999999</v>
      </c>
      <c r="BC49" s="1">
        <f t="shared" si="24"/>
        <v>0.65789258702209497</v>
      </c>
      <c r="BD49" s="1">
        <f t="shared" si="24"/>
        <v>0.50401150261843697</v>
      </c>
      <c r="BE49" s="1">
        <f t="shared" si="24"/>
        <v>1.3887113692505952</v>
      </c>
      <c r="BF49" s="1">
        <f t="shared" si="24"/>
        <v>3.974724856489579</v>
      </c>
      <c r="BG49" s="1">
        <f t="shared" si="24"/>
        <v>4.16884628522953</v>
      </c>
      <c r="BH49" s="1">
        <f t="shared" si="24"/>
        <v>3.331461823574934</v>
      </c>
      <c r="BI49" s="1">
        <f t="shared" si="24"/>
        <v>3.782323935956029</v>
      </c>
      <c r="BJ49" s="1">
        <f t="shared" si="24"/>
        <v>3.896231599392407</v>
      </c>
      <c r="BK49" s="1">
        <f t="shared" si="24"/>
        <v>4.2319506395501643</v>
      </c>
      <c r="BL49" s="1">
        <f t="shared" si="24"/>
        <v>3.7007598215096662</v>
      </c>
      <c r="BM49" s="1">
        <f t="shared" si="24"/>
        <v>3.4499840411861586</v>
      </c>
      <c r="BN49" s="1">
        <f t="shared" si="24"/>
        <v>2.7947572003226897</v>
      </c>
      <c r="BO49" s="1">
        <f t="shared" si="24"/>
        <v>8.8066348537629615</v>
      </c>
      <c r="BP49" s="1">
        <f t="shared" si="24"/>
        <v>9.4395440227828882</v>
      </c>
      <c r="BQ49" s="1">
        <f t="shared" si="24"/>
        <v>3.7804665455728923</v>
      </c>
      <c r="BR49" s="1">
        <f t="shared" si="24"/>
        <v>3.4474027061509447</v>
      </c>
      <c r="BS49" s="1">
        <f t="shared" si="24"/>
        <v>3.5219178559106923</v>
      </c>
      <c r="BT49" s="1">
        <f t="shared" si="24"/>
        <v>4.6898676851599346</v>
      </c>
      <c r="BU49" s="1">
        <f t="shared" si="24"/>
        <v>3.7625081436316399</v>
      </c>
      <c r="BV49" s="1">
        <f t="shared" si="24"/>
        <v>4.7288158007533756</v>
      </c>
      <c r="BW49" s="1">
        <f t="shared" si="24"/>
        <v>4.7585171765956868</v>
      </c>
      <c r="BX49" s="1">
        <f t="shared" si="23"/>
        <v>4.4732343861031296</v>
      </c>
      <c r="BY49" s="1">
        <f t="shared" si="23"/>
        <v>5.0747955264677156</v>
      </c>
      <c r="BZ49" s="1">
        <f t="shared" si="23"/>
        <v>5.0241886059053424</v>
      </c>
      <c r="CA49" s="1">
        <f t="shared" si="23"/>
        <v>5.5599846092950722</v>
      </c>
      <c r="CB49" s="1">
        <f t="shared" si="23"/>
        <v>5.4479421279780018</v>
      </c>
      <c r="CC49" s="1">
        <f t="shared" si="23"/>
        <v>4.8018123042898981</v>
      </c>
      <c r="CD49" s="1">
        <f t="shared" si="23"/>
        <v>6.4492214005943289</v>
      </c>
      <c r="CE49" s="1">
        <f t="shared" si="23"/>
        <v>4.1443481573951182</v>
      </c>
      <c r="CF49" s="1">
        <f t="shared" si="23"/>
        <v>4.017427526695923</v>
      </c>
      <c r="CH49" s="1" t="s">
        <v>61</v>
      </c>
      <c r="CI49" s="1">
        <v>0</v>
      </c>
      <c r="CJ49" s="1">
        <v>0</v>
      </c>
      <c r="CK49" s="1">
        <v>0</v>
      </c>
      <c r="CL49" s="1">
        <v>0</v>
      </c>
      <c r="CM49" s="1">
        <v>0</v>
      </c>
      <c r="CN49" s="1">
        <v>0</v>
      </c>
      <c r="CO49" s="1">
        <v>0</v>
      </c>
      <c r="CP49" s="1">
        <v>0</v>
      </c>
      <c r="CQ49" s="1">
        <v>0</v>
      </c>
      <c r="CR49" s="1">
        <v>0</v>
      </c>
      <c r="CS49" s="1">
        <v>0</v>
      </c>
      <c r="CT49" s="1">
        <v>0</v>
      </c>
      <c r="CU49" s="1">
        <v>0</v>
      </c>
      <c r="CV49" s="1">
        <v>0</v>
      </c>
      <c r="CW49" s="1">
        <v>0</v>
      </c>
      <c r="CX49" s="1">
        <v>0</v>
      </c>
      <c r="CY49" s="1">
        <v>0</v>
      </c>
      <c r="CZ49" s="1">
        <v>0</v>
      </c>
      <c r="DA49" s="1">
        <v>0</v>
      </c>
      <c r="DB49" s="1">
        <v>0</v>
      </c>
      <c r="DC49" s="1">
        <v>0</v>
      </c>
      <c r="DD49" s="1">
        <v>0</v>
      </c>
      <c r="DE49" s="1">
        <v>0</v>
      </c>
      <c r="DF49" s="1">
        <v>0</v>
      </c>
      <c r="DG49" s="1">
        <v>0</v>
      </c>
      <c r="DH49" s="1">
        <v>0</v>
      </c>
      <c r="DI49" s="1">
        <v>0</v>
      </c>
      <c r="DJ49" s="1">
        <v>0</v>
      </c>
      <c r="DK49" s="1">
        <v>0</v>
      </c>
      <c r="DL49" s="1">
        <v>0</v>
      </c>
      <c r="DM49" s="1">
        <v>0</v>
      </c>
      <c r="DN49" s="1">
        <v>0</v>
      </c>
      <c r="DO49" s="1">
        <v>0</v>
      </c>
      <c r="DP49" s="1">
        <v>0</v>
      </c>
      <c r="DQ49" s="1">
        <v>0</v>
      </c>
      <c r="DR49" s="1">
        <v>0</v>
      </c>
      <c r="DS49" s="1">
        <v>0</v>
      </c>
      <c r="DT49" s="1">
        <v>0</v>
      </c>
      <c r="DU49" s="1">
        <v>0</v>
      </c>
      <c r="DV49" s="1">
        <v>0</v>
      </c>
      <c r="DW49" s="1">
        <v>0</v>
      </c>
      <c r="DX49" s="1">
        <v>0</v>
      </c>
      <c r="DY49" s="1">
        <v>0</v>
      </c>
      <c r="DZ49" s="1">
        <v>1</v>
      </c>
      <c r="EA49" s="1">
        <v>0</v>
      </c>
      <c r="EB49" s="1">
        <v>0</v>
      </c>
      <c r="EC49" s="1">
        <v>0</v>
      </c>
      <c r="ED49" s="1">
        <v>0</v>
      </c>
      <c r="EE49" s="1">
        <v>0</v>
      </c>
      <c r="EF49" s="1">
        <v>0</v>
      </c>
      <c r="EG49" s="1">
        <v>0</v>
      </c>
      <c r="EH49" s="1">
        <v>0</v>
      </c>
      <c r="EI49" s="1">
        <v>0</v>
      </c>
      <c r="EJ49" s="1">
        <v>0</v>
      </c>
      <c r="EK49" s="1">
        <v>0</v>
      </c>
      <c r="EL49" s="1">
        <v>0</v>
      </c>
      <c r="EM49" s="1">
        <v>0</v>
      </c>
      <c r="EN49" s="1">
        <v>0</v>
      </c>
      <c r="EO49" s="1">
        <v>0</v>
      </c>
      <c r="EP49" s="1">
        <v>0</v>
      </c>
      <c r="EQ49" s="1">
        <v>0</v>
      </c>
      <c r="ER49" s="1">
        <v>0</v>
      </c>
      <c r="ES49" s="1">
        <v>0</v>
      </c>
      <c r="ET49" s="1">
        <v>0</v>
      </c>
      <c r="EU49" s="1">
        <v>0</v>
      </c>
      <c r="EV49" s="1">
        <v>0</v>
      </c>
      <c r="EW49" s="1">
        <v>0</v>
      </c>
      <c r="EX49" s="1">
        <v>0</v>
      </c>
      <c r="EY49" s="1">
        <v>0</v>
      </c>
      <c r="EZ49" s="1">
        <v>0</v>
      </c>
      <c r="FA49" s="1">
        <v>0</v>
      </c>
      <c r="FB49" s="1">
        <v>0</v>
      </c>
      <c r="FC49" s="1">
        <v>0</v>
      </c>
      <c r="FD49" s="1">
        <v>0</v>
      </c>
      <c r="FE49" s="1">
        <f t="shared" si="0"/>
        <v>0</v>
      </c>
    </row>
    <row r="50" spans="5:161" ht="15.75" thickBot="1" x14ac:dyDescent="0.3">
      <c r="E50" s="1" t="s">
        <v>63</v>
      </c>
      <c r="F50" s="1">
        <v>9</v>
      </c>
      <c r="H50" s="1" t="s">
        <v>134</v>
      </c>
      <c r="I50" s="2">
        <v>30.471943400000001</v>
      </c>
      <c r="J50" s="2">
        <v>-8.8669276000000004</v>
      </c>
      <c r="K50" s="1">
        <f t="shared" si="3"/>
        <v>8.0167242411362434</v>
      </c>
      <c r="L50" s="1">
        <f t="shared" si="24"/>
        <v>7.6075923839147617</v>
      </c>
      <c r="M50" s="1">
        <f t="shared" si="24"/>
        <v>7.0908901195267662</v>
      </c>
      <c r="N50" s="1">
        <f t="shared" si="24"/>
        <v>7.7277366858554197</v>
      </c>
      <c r="O50" s="1">
        <f t="shared" si="24"/>
        <v>7.9109918120693079</v>
      </c>
      <c r="P50" s="1">
        <f t="shared" si="24"/>
        <v>6.670860435356559</v>
      </c>
      <c r="Q50" s="1">
        <f t="shared" si="24"/>
        <v>6.6260963685474303</v>
      </c>
      <c r="R50" s="1">
        <f t="shared" si="24"/>
        <v>1.4497996128553523</v>
      </c>
      <c r="S50" s="1">
        <f t="shared" si="24"/>
        <v>1.0803099331552817</v>
      </c>
      <c r="T50" s="1">
        <f t="shared" si="24"/>
        <v>1.3767204856688706</v>
      </c>
      <c r="U50" s="1">
        <f t="shared" si="24"/>
        <v>2.1531457851128706</v>
      </c>
      <c r="V50" s="1">
        <f t="shared" si="24"/>
        <v>1.3721065733992301</v>
      </c>
      <c r="W50" s="1">
        <f t="shared" si="24"/>
        <v>8.0602432418065248</v>
      </c>
      <c r="X50" s="1">
        <f t="shared" si="24"/>
        <v>1.8296323241691497</v>
      </c>
      <c r="Y50" s="1">
        <f t="shared" si="24"/>
        <v>1.8051186688436076</v>
      </c>
      <c r="Z50" s="1">
        <f t="shared" si="24"/>
        <v>4.6661981246448354</v>
      </c>
      <c r="AA50" s="1">
        <f t="shared" si="24"/>
        <v>2.0067091715346597</v>
      </c>
      <c r="AB50" s="1">
        <f t="shared" si="24"/>
        <v>4.6807507980909762</v>
      </c>
      <c r="AC50" s="1">
        <f t="shared" si="24"/>
        <v>3.4969316595187441</v>
      </c>
      <c r="AD50" s="1">
        <f t="shared" si="24"/>
        <v>3.033204343310969</v>
      </c>
      <c r="AE50" s="1">
        <f t="shared" si="24"/>
        <v>5.2460520950830274</v>
      </c>
      <c r="AF50" s="1">
        <f t="shared" si="24"/>
        <v>4.7810598218424936</v>
      </c>
      <c r="AG50" s="1">
        <f t="shared" si="24"/>
        <v>4.6686858597799565</v>
      </c>
      <c r="AH50" s="1">
        <f t="shared" si="24"/>
        <v>4.844693533805696</v>
      </c>
      <c r="AI50" s="1">
        <f t="shared" si="24"/>
        <v>5.1642637237325451</v>
      </c>
      <c r="AJ50" s="1">
        <f t="shared" si="24"/>
        <v>5.2452040708872039</v>
      </c>
      <c r="AK50" s="1">
        <f t="shared" si="24"/>
        <v>5.0478209813896218</v>
      </c>
      <c r="AL50" s="1">
        <f t="shared" si="24"/>
        <v>5.8683461481470012</v>
      </c>
      <c r="AM50" s="1">
        <f t="shared" si="24"/>
        <v>6.1410821450206594</v>
      </c>
      <c r="AN50" s="1">
        <f t="shared" si="24"/>
        <v>1.903730882541828</v>
      </c>
      <c r="AO50" s="1">
        <f t="shared" si="24"/>
        <v>3.0636735644586435</v>
      </c>
      <c r="AP50" s="1">
        <f t="shared" si="24"/>
        <v>3.0198330514611422</v>
      </c>
      <c r="AQ50" s="1">
        <f t="shared" si="24"/>
        <v>1.701859409139008</v>
      </c>
      <c r="AR50" s="1">
        <f t="shared" si="24"/>
        <v>6.1265380956440136</v>
      </c>
      <c r="AS50" s="1">
        <f t="shared" si="24"/>
        <v>6.3021228240507332</v>
      </c>
      <c r="AT50" s="1">
        <f t="shared" si="24"/>
        <v>6.1798518970715266</v>
      </c>
      <c r="AU50" s="1">
        <f t="shared" si="24"/>
        <v>6.1876730958515598</v>
      </c>
      <c r="AV50" s="1">
        <f t="shared" si="24"/>
        <v>5.4475074172053803</v>
      </c>
      <c r="AW50" s="1">
        <f t="shared" si="24"/>
        <v>6.8669189016526859</v>
      </c>
      <c r="AX50" s="1">
        <f t="shared" si="24"/>
        <v>5.9129139387990604</v>
      </c>
      <c r="AY50" s="1">
        <f t="shared" si="24"/>
        <v>5.4330299827280646</v>
      </c>
      <c r="AZ50" s="1">
        <f t="shared" si="24"/>
        <v>0.73926308134417196</v>
      </c>
      <c r="BA50" s="1">
        <f t="shared" si="24"/>
        <v>0.68878565606483111</v>
      </c>
      <c r="BB50" s="1">
        <f t="shared" si="24"/>
        <v>0.65789258702209497</v>
      </c>
      <c r="BC50" s="5">
        <v>9999999</v>
      </c>
      <c r="BD50" s="1">
        <f t="shared" si="24"/>
        <v>1.1597976370305174</v>
      </c>
      <c r="BE50" s="1">
        <f t="shared" si="24"/>
        <v>1.1539551564286246</v>
      </c>
      <c r="BF50" s="1">
        <f t="shared" si="24"/>
        <v>3.3623217075410325</v>
      </c>
      <c r="BG50" s="1">
        <f t="shared" si="24"/>
        <v>3.5463777799225729</v>
      </c>
      <c r="BH50" s="1">
        <f t="shared" si="24"/>
        <v>2.7859643405233014</v>
      </c>
      <c r="BI50" s="1">
        <f t="shared" si="24"/>
        <v>3.1640511690318056</v>
      </c>
      <c r="BJ50" s="1">
        <f t="shared" si="24"/>
        <v>3.2744182206266088</v>
      </c>
      <c r="BK50" s="1">
        <f t="shared" si="24"/>
        <v>3.5960710150810598</v>
      </c>
      <c r="BL50" s="1">
        <f t="shared" si="24"/>
        <v>3.0772302448420468</v>
      </c>
      <c r="BM50" s="1">
        <f t="shared" si="24"/>
        <v>2.8210557530515641</v>
      </c>
      <c r="BN50" s="1">
        <f t="shared" si="24"/>
        <v>2.2233590505761454</v>
      </c>
      <c r="BO50" s="1">
        <f t="shared" si="24"/>
        <v>9.4622526975574228</v>
      </c>
      <c r="BP50" s="1">
        <f t="shared" si="24"/>
        <v>10.083138946361027</v>
      </c>
      <c r="BQ50" s="1">
        <f t="shared" si="24"/>
        <v>3.1282776941113961</v>
      </c>
      <c r="BR50" s="1">
        <f t="shared" si="24"/>
        <v>2.8076431692755133</v>
      </c>
      <c r="BS50" s="1">
        <f t="shared" si="24"/>
        <v>2.8640475103263263</v>
      </c>
      <c r="BT50" s="1">
        <f t="shared" si="24"/>
        <v>4.0364627928777423</v>
      </c>
      <c r="BU50" s="1">
        <f t="shared" si="24"/>
        <v>3.1077069759424432</v>
      </c>
      <c r="BV50" s="1">
        <f t="shared" si="24"/>
        <v>4.0912299371832805</v>
      </c>
      <c r="BW50" s="1">
        <f t="shared" si="24"/>
        <v>4.1207259302399262</v>
      </c>
      <c r="BX50" s="1">
        <f t="shared" si="23"/>
        <v>3.8318491097986698</v>
      </c>
      <c r="BY50" s="1">
        <f t="shared" si="23"/>
        <v>4.433860236148802</v>
      </c>
      <c r="BZ50" s="1">
        <f t="shared" si="23"/>
        <v>4.3688340010272428</v>
      </c>
      <c r="CA50" s="1">
        <f t="shared" si="23"/>
        <v>4.904403564963526</v>
      </c>
      <c r="CB50" s="1">
        <f t="shared" si="23"/>
        <v>4.7948029456654755</v>
      </c>
      <c r="CC50" s="1">
        <f t="shared" si="23"/>
        <v>5.4535269341469474</v>
      </c>
      <c r="CD50" s="1">
        <f t="shared" si="23"/>
        <v>7.1015420940224354</v>
      </c>
      <c r="CE50" s="1">
        <f t="shared" si="23"/>
        <v>4.7830979229426855</v>
      </c>
      <c r="CF50" s="1">
        <f t="shared" si="23"/>
        <v>4.6673993208686717</v>
      </c>
      <c r="CH50" s="1" t="s">
        <v>62</v>
      </c>
      <c r="CI50" s="1">
        <v>0</v>
      </c>
      <c r="CJ50" s="1">
        <v>0</v>
      </c>
      <c r="CK50" s="1">
        <v>0</v>
      </c>
      <c r="CL50" s="1">
        <v>0</v>
      </c>
      <c r="CM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T50" s="1">
        <v>0</v>
      </c>
      <c r="CU50" s="1">
        <v>0</v>
      </c>
      <c r="CV50" s="1">
        <v>0</v>
      </c>
      <c r="CW50" s="1">
        <v>0</v>
      </c>
      <c r="CX50" s="1">
        <v>0</v>
      </c>
      <c r="CY50" s="1">
        <v>0</v>
      </c>
      <c r="CZ50" s="1">
        <v>0</v>
      </c>
      <c r="DA50" s="1">
        <v>0</v>
      </c>
      <c r="DB50" s="1">
        <v>0</v>
      </c>
      <c r="DC50" s="1">
        <v>0</v>
      </c>
      <c r="DD50" s="1">
        <v>0</v>
      </c>
      <c r="DE50" s="1">
        <v>0</v>
      </c>
      <c r="DF50" s="1">
        <v>0</v>
      </c>
      <c r="DG50" s="1">
        <v>0</v>
      </c>
      <c r="DH50" s="1">
        <v>0</v>
      </c>
      <c r="DI50" s="1">
        <v>0</v>
      </c>
      <c r="DJ50" s="1">
        <v>0</v>
      </c>
      <c r="DK50" s="1">
        <v>0</v>
      </c>
      <c r="DL50" s="1">
        <v>0</v>
      </c>
      <c r="DM50" s="1">
        <v>0</v>
      </c>
      <c r="DN50" s="1">
        <v>1</v>
      </c>
      <c r="DO50" s="1">
        <v>0</v>
      </c>
      <c r="DP50" s="1">
        <v>0</v>
      </c>
      <c r="DQ50" s="1">
        <v>0</v>
      </c>
      <c r="DR50" s="1">
        <v>0</v>
      </c>
      <c r="DS50" s="1">
        <v>0</v>
      </c>
      <c r="DT50" s="1">
        <v>0</v>
      </c>
      <c r="DU50" s="1">
        <v>0</v>
      </c>
      <c r="DV50" s="1">
        <v>0</v>
      </c>
      <c r="DW50" s="1">
        <v>0</v>
      </c>
      <c r="DX50" s="1">
        <v>0</v>
      </c>
      <c r="DY50" s="1">
        <v>0</v>
      </c>
      <c r="DZ50" s="1">
        <v>0</v>
      </c>
      <c r="EA50" s="1">
        <v>0</v>
      </c>
      <c r="EB50" s="1">
        <v>0</v>
      </c>
      <c r="EC50" s="1">
        <v>0</v>
      </c>
      <c r="ED50" s="1">
        <v>0</v>
      </c>
      <c r="EE50" s="1">
        <v>0</v>
      </c>
      <c r="EF50" s="1">
        <v>0</v>
      </c>
      <c r="EG50" s="1">
        <v>0</v>
      </c>
      <c r="EH50" s="1">
        <v>0</v>
      </c>
      <c r="EI50" s="1">
        <v>0</v>
      </c>
      <c r="EJ50" s="1">
        <v>0</v>
      </c>
      <c r="EK50" s="1">
        <v>0</v>
      </c>
      <c r="EL50" s="1">
        <v>0</v>
      </c>
      <c r="EM50" s="1">
        <v>0</v>
      </c>
      <c r="EN50" s="1">
        <v>0</v>
      </c>
      <c r="EO50" s="1">
        <v>0</v>
      </c>
      <c r="EP50" s="1">
        <v>0</v>
      </c>
      <c r="EQ50" s="1">
        <v>0</v>
      </c>
      <c r="ER50" s="1">
        <v>0</v>
      </c>
      <c r="ES50" s="1">
        <v>0</v>
      </c>
      <c r="ET50" s="1">
        <v>0</v>
      </c>
      <c r="EU50" s="1">
        <v>0</v>
      </c>
      <c r="EV50" s="1">
        <v>0</v>
      </c>
      <c r="EW50" s="1">
        <v>0</v>
      </c>
      <c r="EX50" s="1">
        <v>0</v>
      </c>
      <c r="EY50" s="1">
        <v>0</v>
      </c>
      <c r="EZ50" s="1">
        <v>0</v>
      </c>
      <c r="FA50" s="1">
        <v>0</v>
      </c>
      <c r="FB50" s="1">
        <v>0</v>
      </c>
      <c r="FC50" s="1">
        <v>0</v>
      </c>
      <c r="FD50" s="1">
        <v>0</v>
      </c>
      <c r="FE50" s="1">
        <f t="shared" si="0"/>
        <v>0</v>
      </c>
    </row>
    <row r="51" spans="5:161" ht="15.75" thickBot="1" x14ac:dyDescent="0.3">
      <c r="E51" s="1" t="s">
        <v>64</v>
      </c>
      <c r="F51" s="1">
        <v>14</v>
      </c>
      <c r="H51" s="1" t="s">
        <v>135</v>
      </c>
      <c r="I51" s="2">
        <v>29.698623999999999</v>
      </c>
      <c r="J51" s="2">
        <v>-9.7312814999999997</v>
      </c>
      <c r="K51" s="1">
        <f t="shared" si="3"/>
        <v>9.1603244122243446</v>
      </c>
      <c r="L51" s="1">
        <f t="shared" si="24"/>
        <v>8.7656949244522373</v>
      </c>
      <c r="M51" s="1">
        <f t="shared" si="24"/>
        <v>8.2498318705479239</v>
      </c>
      <c r="N51" s="1">
        <f t="shared" si="24"/>
        <v>8.8653430685538179</v>
      </c>
      <c r="O51" s="1">
        <f t="shared" si="24"/>
        <v>9.0620220389288466</v>
      </c>
      <c r="P51" s="1">
        <f t="shared" si="24"/>
        <v>7.8220282076540881</v>
      </c>
      <c r="Q51" s="1">
        <f t="shared" si="24"/>
        <v>7.7129334103093088</v>
      </c>
      <c r="R51" s="1">
        <f t="shared" si="24"/>
        <v>2.5979012540609365</v>
      </c>
      <c r="S51" s="1">
        <f t="shared" si="24"/>
        <v>2.0881584863401974</v>
      </c>
      <c r="T51" s="1">
        <f t="shared" si="24"/>
        <v>1.8146717746178203</v>
      </c>
      <c r="U51" s="1">
        <f t="shared" si="24"/>
        <v>3.3094940644150208</v>
      </c>
      <c r="V51" s="1">
        <f t="shared" si="24"/>
        <v>1.8134658227863711</v>
      </c>
      <c r="W51" s="1">
        <f t="shared" si="24"/>
        <v>9.2093820209107466</v>
      </c>
      <c r="X51" s="1">
        <f t="shared" si="24"/>
        <v>2.6148445608929061</v>
      </c>
      <c r="Y51" s="1">
        <f t="shared" si="24"/>
        <v>2.8151969751929005</v>
      </c>
      <c r="Z51" s="1">
        <f t="shared" si="24"/>
        <v>5.7476352034332914</v>
      </c>
      <c r="AA51" s="1">
        <f t="shared" si="24"/>
        <v>3.0735407741370948</v>
      </c>
      <c r="AB51" s="1">
        <f t="shared" si="24"/>
        <v>5.8141715897941335</v>
      </c>
      <c r="AC51" s="1">
        <f t="shared" si="24"/>
        <v>4.5785635494379937</v>
      </c>
      <c r="AD51" s="1">
        <f t="shared" si="24"/>
        <v>3.9446804708654479</v>
      </c>
      <c r="AE51" s="1">
        <f t="shared" si="24"/>
        <v>6.4057173128828913</v>
      </c>
      <c r="AF51" s="1">
        <f t="shared" si="24"/>
        <v>5.9386363017967367</v>
      </c>
      <c r="AG51" s="1">
        <f t="shared" si="24"/>
        <v>5.8279707506511755</v>
      </c>
      <c r="AH51" s="1">
        <f t="shared" si="24"/>
        <v>6.0034408169285109</v>
      </c>
      <c r="AI51" s="1">
        <f t="shared" si="24"/>
        <v>6.3230734786097704</v>
      </c>
      <c r="AJ51" s="1">
        <f t="shared" si="24"/>
        <v>6.4043740712146286</v>
      </c>
      <c r="AK51" s="1">
        <f t="shared" si="24"/>
        <v>6.2008509108111092</v>
      </c>
      <c r="AL51" s="1">
        <f t="shared" si="24"/>
        <v>7.0275260290916242</v>
      </c>
      <c r="AM51" s="1">
        <f t="shared" si="24"/>
        <v>7.2984001802084881</v>
      </c>
      <c r="AN51" s="1">
        <f t="shared" si="24"/>
        <v>0.78336471647528072</v>
      </c>
      <c r="AO51" s="1">
        <f t="shared" si="24"/>
        <v>2.3843973403579555</v>
      </c>
      <c r="AP51" s="1">
        <f t="shared" si="24"/>
        <v>1.8601169233000496</v>
      </c>
      <c r="AQ51" s="1">
        <f t="shared" si="24"/>
        <v>0.54399209061950538</v>
      </c>
      <c r="AR51" s="1">
        <f t="shared" si="24"/>
        <v>7.2375074264571495</v>
      </c>
      <c r="AS51" s="1">
        <f t="shared" si="24"/>
        <v>7.4329067777336473</v>
      </c>
      <c r="AT51" s="1">
        <f t="shared" si="24"/>
        <v>7.3115384243137376</v>
      </c>
      <c r="AU51" s="1">
        <f t="shared" si="24"/>
        <v>7.305272866826094</v>
      </c>
      <c r="AV51" s="1">
        <f t="shared" si="24"/>
        <v>6.55876728682364</v>
      </c>
      <c r="AW51" s="1">
        <f t="shared" si="24"/>
        <v>8.0259741041334216</v>
      </c>
      <c r="AX51" s="1">
        <f t="shared" si="24"/>
        <v>7.0555321313861779</v>
      </c>
      <c r="AY51" s="1">
        <f t="shared" si="24"/>
        <v>6.5754553006937284</v>
      </c>
      <c r="AZ51" s="1">
        <f t="shared" si="24"/>
        <v>0.73337919819690145</v>
      </c>
      <c r="BA51" s="1">
        <f t="shared" si="24"/>
        <v>0.68328750778676683</v>
      </c>
      <c r="BB51" s="1">
        <f t="shared" si="24"/>
        <v>0.50401150261843697</v>
      </c>
      <c r="BC51" s="1">
        <f t="shared" si="24"/>
        <v>1.1597976370305174</v>
      </c>
      <c r="BD51" s="5">
        <v>9999999</v>
      </c>
      <c r="BE51" s="1">
        <f t="shared" si="24"/>
        <v>1.7623238976252236</v>
      </c>
      <c r="BF51" s="1">
        <f t="shared" si="24"/>
        <v>4.4311794886995708</v>
      </c>
      <c r="BG51" s="1">
        <f t="shared" si="24"/>
        <v>4.632759732125094</v>
      </c>
      <c r="BH51" s="1">
        <f t="shared" si="24"/>
        <v>3.7432254277799752</v>
      </c>
      <c r="BI51" s="1">
        <f t="shared" si="24"/>
        <v>4.2438999661086827</v>
      </c>
      <c r="BJ51" s="1">
        <f t="shared" si="24"/>
        <v>4.3602756211335159</v>
      </c>
      <c r="BK51" s="1">
        <f t="shared" si="24"/>
        <v>4.7069738832205408</v>
      </c>
      <c r="BL51" s="1">
        <f t="shared" si="24"/>
        <v>4.1666776577490801</v>
      </c>
      <c r="BM51" s="1">
        <f t="shared" si="24"/>
        <v>3.9208401174160712</v>
      </c>
      <c r="BN51" s="1">
        <f t="shared" si="24"/>
        <v>3.2285692852077532</v>
      </c>
      <c r="BO51" s="1">
        <f t="shared" si="24"/>
        <v>8.3141108046722874</v>
      </c>
      <c r="BP51" s="1">
        <f t="shared" si="24"/>
        <v>8.9655176387815594</v>
      </c>
      <c r="BQ51" s="1">
        <f t="shared" si="24"/>
        <v>4.284477390607079</v>
      </c>
      <c r="BR51" s="1">
        <f t="shared" si="24"/>
        <v>3.9496175755039604</v>
      </c>
      <c r="BS51" s="1">
        <f t="shared" si="24"/>
        <v>4.022267820836829</v>
      </c>
      <c r="BT51" s="1">
        <f t="shared" si="24"/>
        <v>5.1938399158553237</v>
      </c>
      <c r="BU51" s="1">
        <f t="shared" si="24"/>
        <v>4.2567780239693338</v>
      </c>
      <c r="BV51" s="1">
        <f t="shared" si="24"/>
        <v>5.2046906199247323</v>
      </c>
      <c r="BW51" s="1">
        <f t="shared" ref="BW51:CF54" si="25">SQRT(POWER($I51-BW$4,2)+POWER(BW$5-$J51,2))</f>
        <v>5.2345440692753025</v>
      </c>
      <c r="BX51" s="1">
        <f t="shared" si="25"/>
        <v>4.9528911682414583</v>
      </c>
      <c r="BY51" s="1">
        <f t="shared" si="25"/>
        <v>5.553421928196367</v>
      </c>
      <c r="BZ51" s="1">
        <f t="shared" si="25"/>
        <v>5.5187455891009547</v>
      </c>
      <c r="CA51" s="1">
        <f t="shared" si="25"/>
        <v>6.0547533472636434</v>
      </c>
      <c r="CB51" s="1">
        <f t="shared" si="25"/>
        <v>5.9393325282668137</v>
      </c>
      <c r="CC51" s="1">
        <f t="shared" si="25"/>
        <v>4.2979725589603692</v>
      </c>
      <c r="CD51" s="1">
        <f t="shared" si="25"/>
        <v>5.9452729308285974</v>
      </c>
      <c r="CE51" s="1">
        <f t="shared" si="25"/>
        <v>3.6458374362297841</v>
      </c>
      <c r="CF51" s="1">
        <f t="shared" si="25"/>
        <v>3.5372426260603405</v>
      </c>
      <c r="CH51" s="1" t="s">
        <v>63</v>
      </c>
      <c r="CI51" s="1">
        <v>0</v>
      </c>
      <c r="CJ51" s="1">
        <v>0</v>
      </c>
      <c r="CK51" s="1">
        <v>0</v>
      </c>
      <c r="CL51" s="1">
        <v>0</v>
      </c>
      <c r="CM51" s="1">
        <v>0</v>
      </c>
      <c r="CN51" s="1">
        <v>0</v>
      </c>
      <c r="CO51" s="1">
        <v>0</v>
      </c>
      <c r="CP51" s="1">
        <v>0</v>
      </c>
      <c r="CQ51" s="1">
        <v>0</v>
      </c>
      <c r="CR51" s="1">
        <v>0</v>
      </c>
      <c r="CS51" s="1">
        <v>0</v>
      </c>
      <c r="CT51" s="1">
        <v>0</v>
      </c>
      <c r="CU51" s="1">
        <v>0</v>
      </c>
      <c r="CV51" s="1">
        <v>0</v>
      </c>
      <c r="CW51" s="1">
        <v>0</v>
      </c>
      <c r="CX51" s="1">
        <v>0</v>
      </c>
      <c r="CY51" s="1">
        <v>0</v>
      </c>
      <c r="CZ51" s="1">
        <v>0</v>
      </c>
      <c r="DA51" s="1">
        <v>0</v>
      </c>
      <c r="DB51" s="1">
        <v>0</v>
      </c>
      <c r="DC51" s="1">
        <v>0</v>
      </c>
      <c r="DD51" s="1">
        <v>0</v>
      </c>
      <c r="DE51" s="1">
        <v>0</v>
      </c>
      <c r="DF51" s="1">
        <v>0</v>
      </c>
      <c r="DG51" s="1">
        <v>0</v>
      </c>
      <c r="DH51" s="1">
        <v>0</v>
      </c>
      <c r="DI51" s="1">
        <v>0</v>
      </c>
      <c r="DJ51" s="1">
        <v>0</v>
      </c>
      <c r="DK51" s="1">
        <v>0</v>
      </c>
      <c r="DL51" s="1">
        <v>0</v>
      </c>
      <c r="DM51" s="1">
        <v>0</v>
      </c>
      <c r="DN51" s="1">
        <v>0</v>
      </c>
      <c r="DO51" s="1">
        <v>0</v>
      </c>
      <c r="DP51" s="1">
        <v>0</v>
      </c>
      <c r="DQ51" s="1">
        <v>0</v>
      </c>
      <c r="DR51" s="1">
        <v>0</v>
      </c>
      <c r="DS51" s="1">
        <v>0</v>
      </c>
      <c r="DT51" s="1">
        <v>0</v>
      </c>
      <c r="DU51" s="1">
        <v>0</v>
      </c>
      <c r="DV51" s="1">
        <v>0</v>
      </c>
      <c r="DW51" s="1">
        <v>0</v>
      </c>
      <c r="DX51" s="1">
        <v>0</v>
      </c>
      <c r="DY51" s="1">
        <v>0</v>
      </c>
      <c r="DZ51" s="1">
        <v>0</v>
      </c>
      <c r="EA51" s="1">
        <v>0</v>
      </c>
      <c r="EB51" s="1">
        <v>0</v>
      </c>
      <c r="EC51" s="1">
        <v>0</v>
      </c>
      <c r="ED51" s="1">
        <v>0</v>
      </c>
      <c r="EE51" s="1">
        <v>0</v>
      </c>
      <c r="EF51" s="1">
        <v>0</v>
      </c>
      <c r="EG51" s="1">
        <v>0</v>
      </c>
      <c r="EH51" s="1">
        <v>0</v>
      </c>
      <c r="EI51" s="1">
        <v>1</v>
      </c>
      <c r="EJ51" s="1">
        <v>0</v>
      </c>
      <c r="EK51" s="1">
        <v>0</v>
      </c>
      <c r="EL51" s="1">
        <v>0</v>
      </c>
      <c r="EM51" s="1">
        <v>0</v>
      </c>
      <c r="EN51" s="1">
        <v>0</v>
      </c>
      <c r="EO51" s="1">
        <v>0</v>
      </c>
      <c r="EP51" s="1">
        <v>0</v>
      </c>
      <c r="EQ51" s="1">
        <v>0</v>
      </c>
      <c r="ER51" s="1">
        <v>0</v>
      </c>
      <c r="ES51" s="1">
        <v>0</v>
      </c>
      <c r="ET51" s="1">
        <v>0</v>
      </c>
      <c r="EU51" s="1">
        <v>0</v>
      </c>
      <c r="EV51" s="1">
        <v>0</v>
      </c>
      <c r="EW51" s="1">
        <v>0</v>
      </c>
      <c r="EX51" s="1">
        <v>0</v>
      </c>
      <c r="EY51" s="1">
        <v>0</v>
      </c>
      <c r="EZ51" s="1">
        <v>0</v>
      </c>
      <c r="FA51" s="1">
        <v>0</v>
      </c>
      <c r="FB51" s="1">
        <v>0</v>
      </c>
      <c r="FC51" s="1">
        <v>0</v>
      </c>
      <c r="FD51" s="1">
        <v>0</v>
      </c>
      <c r="FE51" s="1">
        <f t="shared" si="0"/>
        <v>0</v>
      </c>
    </row>
    <row r="52" spans="5:161" ht="15.75" thickBot="1" x14ac:dyDescent="0.3">
      <c r="E52" s="1" t="s">
        <v>65</v>
      </c>
      <c r="F52" s="1">
        <v>3</v>
      </c>
      <c r="H52" s="1" t="s">
        <v>136</v>
      </c>
      <c r="I52" s="2">
        <v>29.746392</v>
      </c>
      <c r="J52" s="2">
        <v>-7.9696050999999999</v>
      </c>
      <c r="K52" s="1">
        <f t="shared" si="3"/>
        <v>7.7090994435833622</v>
      </c>
      <c r="L52" s="1">
        <f t="shared" ref="L52:BW55" si="26">SQRT(POWER($I52-L$4,2)+POWER(L$5-$J52,2))</f>
        <v>7.442589447007192</v>
      </c>
      <c r="M52" s="1">
        <f t="shared" si="26"/>
        <v>6.9514179313305569</v>
      </c>
      <c r="N52" s="1">
        <f t="shared" si="26"/>
        <v>7.3880389978073469</v>
      </c>
      <c r="O52" s="1">
        <f t="shared" si="26"/>
        <v>7.6581428930874109</v>
      </c>
      <c r="P52" s="1">
        <f t="shared" si="26"/>
        <v>6.4328982688138305</v>
      </c>
      <c r="Q52" s="1">
        <f t="shared" si="26"/>
        <v>6.1059935463252346</v>
      </c>
      <c r="R52" s="1">
        <f t="shared" si="26"/>
        <v>1.8795354367763804</v>
      </c>
      <c r="S52" s="1">
        <f t="shared" si="26"/>
        <v>1.9661759542057526</v>
      </c>
      <c r="T52" s="1">
        <f t="shared" si="26"/>
        <v>2.5208001004474321</v>
      </c>
      <c r="U52" s="1">
        <f t="shared" si="26"/>
        <v>2.375578333467034</v>
      </c>
      <c r="V52" s="1">
        <f t="shared" si="26"/>
        <v>2.5159029821124359</v>
      </c>
      <c r="W52" s="1">
        <f t="shared" si="26"/>
        <v>7.7906375478804879</v>
      </c>
      <c r="X52" s="1">
        <f t="shared" si="26"/>
        <v>2.8166947584176674</v>
      </c>
      <c r="Y52" s="1">
        <f t="shared" si="26"/>
        <v>2.5619967502458332</v>
      </c>
      <c r="Z52" s="1">
        <f t="shared" si="26"/>
        <v>4.1550089021329857</v>
      </c>
      <c r="AA52" s="1">
        <f t="shared" si="26"/>
        <v>1.5807012926107864</v>
      </c>
      <c r="AB52" s="1">
        <f t="shared" si="26"/>
        <v>4.3633824440714104</v>
      </c>
      <c r="AC52" s="1">
        <f t="shared" si="26"/>
        <v>3.0160238563401989</v>
      </c>
      <c r="AD52" s="1">
        <f t="shared" si="26"/>
        <v>2.2103665413451701</v>
      </c>
      <c r="AE52" s="1">
        <f t="shared" si="26"/>
        <v>5.206902268132775</v>
      </c>
      <c r="AF52" s="1">
        <f t="shared" si="26"/>
        <v>4.8142058675558701</v>
      </c>
      <c r="AG52" s="1">
        <f t="shared" si="26"/>
        <v>4.6642701162085434</v>
      </c>
      <c r="AH52" s="1">
        <f t="shared" si="26"/>
        <v>4.7423352887177233</v>
      </c>
      <c r="AI52" s="1">
        <f t="shared" si="26"/>
        <v>5.1604253724581675</v>
      </c>
      <c r="AJ52" s="1">
        <f t="shared" si="26"/>
        <v>5.1449387809429554</v>
      </c>
      <c r="AK52" s="1">
        <f t="shared" si="26"/>
        <v>4.8562748233841218</v>
      </c>
      <c r="AL52" s="1">
        <f t="shared" si="26"/>
        <v>5.837553599676772</v>
      </c>
      <c r="AM52" s="1">
        <f t="shared" si="26"/>
        <v>5.9817873249615152</v>
      </c>
      <c r="AN52" s="1">
        <f t="shared" si="26"/>
        <v>2.2218560810606607</v>
      </c>
      <c r="AO52" s="1">
        <f t="shared" si="26"/>
        <v>2.5705807560187051</v>
      </c>
      <c r="AP52" s="1">
        <f t="shared" si="26"/>
        <v>3.3917648986317146</v>
      </c>
      <c r="AQ52" s="1">
        <f t="shared" si="26"/>
        <v>2.2323763802469556</v>
      </c>
      <c r="AR52" s="1">
        <f t="shared" si="26"/>
        <v>6.4083263014923064</v>
      </c>
      <c r="AS52" s="1">
        <f t="shared" si="26"/>
        <v>6.5000739532375951</v>
      </c>
      <c r="AT52" s="1">
        <f t="shared" si="26"/>
        <v>6.3759056818106421</v>
      </c>
      <c r="AU52" s="1">
        <f t="shared" si="26"/>
        <v>6.4437006805573764</v>
      </c>
      <c r="AV52" s="1">
        <f t="shared" si="26"/>
        <v>5.7437126634415545</v>
      </c>
      <c r="AW52" s="1">
        <f t="shared" si="26"/>
        <v>6.8229649199397775</v>
      </c>
      <c r="AX52" s="1">
        <f t="shared" si="26"/>
        <v>6.0554429000835572</v>
      </c>
      <c r="AY52" s="1">
        <f t="shared" si="26"/>
        <v>5.5878084888434927</v>
      </c>
      <c r="AZ52" s="1">
        <f t="shared" si="26"/>
        <v>1.7685245872766173</v>
      </c>
      <c r="BA52" s="1">
        <f t="shared" si="26"/>
        <v>1.6902053471862435</v>
      </c>
      <c r="BB52" s="1">
        <f t="shared" si="26"/>
        <v>1.3887113692505952</v>
      </c>
      <c r="BC52" s="1">
        <f t="shared" si="26"/>
        <v>1.1539551564286246</v>
      </c>
      <c r="BD52" s="1">
        <f t="shared" si="26"/>
        <v>1.7623238976252236</v>
      </c>
      <c r="BE52" s="5">
        <v>9999999</v>
      </c>
      <c r="BF52" s="1">
        <f t="shared" si="26"/>
        <v>3.8639681513393271</v>
      </c>
      <c r="BG52" s="1">
        <f t="shared" si="26"/>
        <v>3.9918474666129824</v>
      </c>
      <c r="BH52" s="1">
        <f t="shared" si="26"/>
        <v>3.5274712136919986</v>
      </c>
      <c r="BI52" s="1">
        <f t="shared" si="26"/>
        <v>3.6499594067534824</v>
      </c>
      <c r="BJ52" s="1">
        <f t="shared" si="26"/>
        <v>3.7370713690186625</v>
      </c>
      <c r="BK52" s="1">
        <f t="shared" si="26"/>
        <v>3.9619800712412356</v>
      </c>
      <c r="BL52" s="1">
        <f t="shared" si="26"/>
        <v>3.542644666485296</v>
      </c>
      <c r="BM52" s="1">
        <f t="shared" si="26"/>
        <v>3.274734385964245</v>
      </c>
      <c r="BN52" s="1">
        <f t="shared" si="26"/>
        <v>2.9397498942353604</v>
      </c>
      <c r="BO52" s="1">
        <f t="shared" si="26"/>
        <v>9.5644144710956773</v>
      </c>
      <c r="BP52" s="1">
        <f t="shared" si="26"/>
        <v>10.041106505922956</v>
      </c>
      <c r="BQ52" s="1">
        <f t="shared" si="26"/>
        <v>3.0510724428887301</v>
      </c>
      <c r="BR52" s="1">
        <f t="shared" si="26"/>
        <v>2.6218579204663608</v>
      </c>
      <c r="BS52" s="1">
        <f t="shared" si="26"/>
        <v>2.9799347074040097</v>
      </c>
      <c r="BT52" s="1">
        <f t="shared" si="26"/>
        <v>3.9321667221393493</v>
      </c>
      <c r="BU52" s="1">
        <f t="shared" si="26"/>
        <v>3.3133710399257157</v>
      </c>
      <c r="BV52" s="1">
        <f t="shared" si="26"/>
        <v>4.4241892884229541</v>
      </c>
      <c r="BW52" s="1">
        <f t="shared" si="26"/>
        <v>4.4511189959234514</v>
      </c>
      <c r="BX52" s="1">
        <f t="shared" si="25"/>
        <v>4.1474383245454733</v>
      </c>
      <c r="BY52" s="1">
        <f t="shared" si="25"/>
        <v>4.729942265785831</v>
      </c>
      <c r="BZ52" s="1">
        <f t="shared" si="25"/>
        <v>4.5029776537781085</v>
      </c>
      <c r="CA52" s="1">
        <f t="shared" si="25"/>
        <v>5.0169628180080466</v>
      </c>
      <c r="CB52" s="1">
        <f t="shared" si="25"/>
        <v>4.954064792932205</v>
      </c>
      <c r="CC52" s="1">
        <f t="shared" si="25"/>
        <v>5.8332402405326143</v>
      </c>
      <c r="CD52" s="1">
        <f t="shared" si="25"/>
        <v>7.4523567798448553</v>
      </c>
      <c r="CE52" s="1">
        <f t="shared" si="25"/>
        <v>5.2743236814537129</v>
      </c>
      <c r="CF52" s="1">
        <f t="shared" si="25"/>
        <v>4.7677369132126008</v>
      </c>
      <c r="CH52" s="1" t="s">
        <v>64</v>
      </c>
      <c r="CI52" s="1">
        <v>0</v>
      </c>
      <c r="CJ52" s="1">
        <v>0</v>
      </c>
      <c r="CK52" s="1">
        <v>0</v>
      </c>
      <c r="CL52" s="1">
        <v>0</v>
      </c>
      <c r="CM52" s="1">
        <v>0</v>
      </c>
      <c r="CN52" s="1">
        <v>0</v>
      </c>
      <c r="CO52" s="1">
        <v>0</v>
      </c>
      <c r="CP52" s="1">
        <v>0</v>
      </c>
      <c r="CQ52" s="1">
        <v>0</v>
      </c>
      <c r="CR52" s="1">
        <v>0</v>
      </c>
      <c r="CS52" s="1">
        <v>0</v>
      </c>
      <c r="CT52" s="1">
        <v>0</v>
      </c>
      <c r="CU52" s="1">
        <v>0</v>
      </c>
      <c r="CV52" s="1">
        <v>0</v>
      </c>
      <c r="CW52" s="1">
        <v>0</v>
      </c>
      <c r="CX52" s="1">
        <v>0</v>
      </c>
      <c r="CY52" s="1">
        <v>0</v>
      </c>
      <c r="CZ52" s="1">
        <v>0</v>
      </c>
      <c r="DA52" s="1">
        <v>0</v>
      </c>
      <c r="DB52" s="1">
        <v>0</v>
      </c>
      <c r="DC52" s="1">
        <v>0</v>
      </c>
      <c r="DD52" s="1">
        <v>0</v>
      </c>
      <c r="DE52" s="1">
        <v>0</v>
      </c>
      <c r="DF52" s="1">
        <v>0</v>
      </c>
      <c r="DG52" s="1">
        <v>0</v>
      </c>
      <c r="DH52" s="1">
        <v>0</v>
      </c>
      <c r="DI52" s="1">
        <v>0</v>
      </c>
      <c r="DJ52" s="1">
        <v>0</v>
      </c>
      <c r="DK52" s="1">
        <v>0</v>
      </c>
      <c r="DL52" s="1">
        <v>0</v>
      </c>
      <c r="DM52" s="1">
        <v>0</v>
      </c>
      <c r="DN52" s="1">
        <v>0</v>
      </c>
      <c r="DO52" s="1">
        <v>0</v>
      </c>
      <c r="DP52" s="1">
        <v>0</v>
      </c>
      <c r="DQ52" s="1">
        <v>0</v>
      </c>
      <c r="DR52" s="1">
        <v>0</v>
      </c>
      <c r="DS52" s="1">
        <v>0</v>
      </c>
      <c r="DT52" s="1">
        <v>0</v>
      </c>
      <c r="DU52" s="1">
        <v>0</v>
      </c>
      <c r="DV52" s="1">
        <v>0</v>
      </c>
      <c r="DW52" s="1">
        <v>0</v>
      </c>
      <c r="DX52" s="1">
        <v>0</v>
      </c>
      <c r="DY52" s="1">
        <v>0</v>
      </c>
      <c r="DZ52" s="1">
        <v>0</v>
      </c>
      <c r="EA52" s="1">
        <v>0</v>
      </c>
      <c r="EB52" s="1">
        <v>0</v>
      </c>
      <c r="EC52" s="1">
        <v>0</v>
      </c>
      <c r="ED52" s="1">
        <v>0</v>
      </c>
      <c r="EE52" s="1">
        <v>0</v>
      </c>
      <c r="EF52" s="1">
        <v>0</v>
      </c>
      <c r="EG52" s="1">
        <v>0</v>
      </c>
      <c r="EH52" s="1">
        <v>0</v>
      </c>
      <c r="EI52" s="1">
        <v>0</v>
      </c>
      <c r="EJ52" s="1">
        <v>0</v>
      </c>
      <c r="EK52" s="1">
        <v>0</v>
      </c>
      <c r="EL52" s="1">
        <v>0</v>
      </c>
      <c r="EM52" s="1">
        <v>0</v>
      </c>
      <c r="EN52" s="1">
        <v>0</v>
      </c>
      <c r="EO52" s="1">
        <v>0</v>
      </c>
      <c r="EP52" s="1">
        <v>0</v>
      </c>
      <c r="EQ52" s="1">
        <v>0</v>
      </c>
      <c r="ER52" s="1">
        <v>0</v>
      </c>
      <c r="ES52" s="1">
        <v>0</v>
      </c>
      <c r="ET52" s="1">
        <v>0</v>
      </c>
      <c r="EU52" s="1">
        <v>1</v>
      </c>
      <c r="EV52" s="1">
        <v>0</v>
      </c>
      <c r="EW52" s="1">
        <v>0</v>
      </c>
      <c r="EX52" s="1">
        <v>0</v>
      </c>
      <c r="EY52" s="1">
        <v>0</v>
      </c>
      <c r="EZ52" s="1">
        <v>0</v>
      </c>
      <c r="FA52" s="1">
        <v>0</v>
      </c>
      <c r="FB52" s="1">
        <v>0</v>
      </c>
      <c r="FC52" s="1">
        <v>0</v>
      </c>
      <c r="FD52" s="1">
        <v>0</v>
      </c>
      <c r="FE52" s="1">
        <f t="shared" si="0"/>
        <v>0</v>
      </c>
    </row>
    <row r="53" spans="5:161" ht="15.75" thickBot="1" x14ac:dyDescent="0.3">
      <c r="E53" s="1" t="s">
        <v>66</v>
      </c>
      <c r="F53" s="1">
        <v>5</v>
      </c>
      <c r="H53" s="1" t="s">
        <v>137</v>
      </c>
      <c r="I53" s="2">
        <v>33.594514400000001</v>
      </c>
      <c r="J53" s="2">
        <v>-7.6200283999999998</v>
      </c>
      <c r="K53" s="1">
        <f t="shared" si="3"/>
        <v>5.6860982955689421</v>
      </c>
      <c r="L53" s="1">
        <f t="shared" si="26"/>
        <v>4.9759931434264848</v>
      </c>
      <c r="M53" s="1">
        <f t="shared" si="26"/>
        <v>4.4492403236151352</v>
      </c>
      <c r="N53" s="1">
        <f t="shared" si="26"/>
        <v>5.5067975468429848</v>
      </c>
      <c r="O53" s="1">
        <f t="shared" si="26"/>
        <v>5.4557593427845861</v>
      </c>
      <c r="P53" s="1">
        <f t="shared" si="26"/>
        <v>4.3140885880600672</v>
      </c>
      <c r="Q53" s="1">
        <f t="shared" si="26"/>
        <v>5.0697501122165551</v>
      </c>
      <c r="R53" s="1">
        <f t="shared" si="26"/>
        <v>2.0029962372000241</v>
      </c>
      <c r="S53" s="1">
        <f t="shared" si="26"/>
        <v>2.3433335301147502</v>
      </c>
      <c r="T53" s="1">
        <f t="shared" si="26"/>
        <v>2.9910313762265099</v>
      </c>
      <c r="U53" s="1">
        <f t="shared" si="26"/>
        <v>1.5548798655979579</v>
      </c>
      <c r="V53" s="1">
        <f t="shared" si="26"/>
        <v>2.987643119189324</v>
      </c>
      <c r="W53" s="1">
        <f t="shared" si="26"/>
        <v>5.6325033249578196</v>
      </c>
      <c r="X53" s="1">
        <f t="shared" si="26"/>
        <v>2.0883474371455852</v>
      </c>
      <c r="Y53" s="1">
        <f t="shared" si="26"/>
        <v>1.6283491450950942</v>
      </c>
      <c r="Z53" s="1">
        <f t="shared" si="26"/>
        <v>3.5949832419776939</v>
      </c>
      <c r="AA53" s="1">
        <f t="shared" si="26"/>
        <v>2.7667355165984189</v>
      </c>
      <c r="AB53" s="1">
        <f t="shared" si="26"/>
        <v>3.0217311125394208</v>
      </c>
      <c r="AC53" s="1">
        <f t="shared" si="26"/>
        <v>2.943033815298548</v>
      </c>
      <c r="AD53" s="1">
        <f t="shared" si="26"/>
        <v>3.7213683348006188</v>
      </c>
      <c r="AE53" s="1">
        <f t="shared" si="26"/>
        <v>2.6407732225018186</v>
      </c>
      <c r="AF53" s="1">
        <f t="shared" si="26"/>
        <v>2.1099164423066541</v>
      </c>
      <c r="AG53" s="1">
        <f t="shared" si="26"/>
        <v>2.1297215117534614</v>
      </c>
      <c r="AH53" s="1">
        <f t="shared" si="26"/>
        <v>2.5135111183968366</v>
      </c>
      <c r="AI53" s="1">
        <f t="shared" si="26"/>
        <v>2.4898793938415009</v>
      </c>
      <c r="AJ53" s="1">
        <f t="shared" si="26"/>
        <v>2.7961994090848949</v>
      </c>
      <c r="AK53" s="1">
        <f t="shared" si="26"/>
        <v>2.8996468412957634</v>
      </c>
      <c r="AL53" s="1">
        <f t="shared" si="26"/>
        <v>3.1297803122037049</v>
      </c>
      <c r="AM53" s="1">
        <f t="shared" si="26"/>
        <v>3.6654594727105798</v>
      </c>
      <c r="AN53" s="1">
        <f t="shared" si="26"/>
        <v>5.2130419281929363</v>
      </c>
      <c r="AO53" s="1">
        <f t="shared" si="26"/>
        <v>6.3439770806669422</v>
      </c>
      <c r="AP53" s="1">
        <f t="shared" si="26"/>
        <v>6.2205431048002007</v>
      </c>
      <c r="AQ53" s="1">
        <f t="shared" si="26"/>
        <v>4.9274572651632278</v>
      </c>
      <c r="AR53" s="1">
        <f t="shared" si="26"/>
        <v>2.8400513327498742</v>
      </c>
      <c r="AS53" s="1">
        <f t="shared" si="26"/>
        <v>3.1046129946472294</v>
      </c>
      <c r="AT53" s="1">
        <f t="shared" si="26"/>
        <v>2.9910920183259138</v>
      </c>
      <c r="AU53" s="1">
        <f t="shared" si="26"/>
        <v>2.9253159586248225</v>
      </c>
      <c r="AV53" s="1">
        <f t="shared" si="26"/>
        <v>2.1713421363000442</v>
      </c>
      <c r="AW53" s="1">
        <f t="shared" si="26"/>
        <v>4.0422043461900738</v>
      </c>
      <c r="AX53" s="1">
        <f t="shared" si="26"/>
        <v>2.8237918624907619</v>
      </c>
      <c r="AY53" s="1">
        <f t="shared" si="26"/>
        <v>2.369230689212833</v>
      </c>
      <c r="AZ53" s="1">
        <f t="shared" si="26"/>
        <v>3.7429086276548369</v>
      </c>
      <c r="BA53" s="1">
        <f t="shared" si="26"/>
        <v>3.7676509338634268</v>
      </c>
      <c r="BB53" s="1">
        <f t="shared" si="26"/>
        <v>3.974724856489579</v>
      </c>
      <c r="BC53" s="1">
        <f t="shared" si="26"/>
        <v>3.3623217075410325</v>
      </c>
      <c r="BD53" s="1">
        <f t="shared" si="26"/>
        <v>4.4311794886995708</v>
      </c>
      <c r="BE53" s="1">
        <f t="shared" si="26"/>
        <v>3.8639681513393271</v>
      </c>
      <c r="BF53" s="5">
        <v>9999999</v>
      </c>
      <c r="BG53" s="1">
        <f t="shared" si="26"/>
        <v>0.25196954893766316</v>
      </c>
      <c r="BH53" s="1">
        <f t="shared" si="26"/>
        <v>0.95146640378287217</v>
      </c>
      <c r="BI53" s="1">
        <f t="shared" si="26"/>
        <v>0.21505228742731189</v>
      </c>
      <c r="BJ53" s="1">
        <f t="shared" si="26"/>
        <v>0.17098185282105169</v>
      </c>
      <c r="BK53" s="1">
        <f t="shared" si="26"/>
        <v>0.49749494145257173</v>
      </c>
      <c r="BL53" s="1">
        <f t="shared" si="26"/>
        <v>0.32914443184056941</v>
      </c>
      <c r="BM53" s="1">
        <f t="shared" si="26"/>
        <v>0.59211742199729211</v>
      </c>
      <c r="BN53" s="1">
        <f t="shared" si="26"/>
        <v>1.2398959966977583</v>
      </c>
      <c r="BO53" s="1">
        <f t="shared" si="26"/>
        <v>12.691577824278658</v>
      </c>
      <c r="BP53" s="1">
        <f t="shared" si="26"/>
        <v>13.391876029272971</v>
      </c>
      <c r="BQ53" s="1">
        <f t="shared" si="26"/>
        <v>1.7868749818891987</v>
      </c>
      <c r="BR53" s="1">
        <f t="shared" si="26"/>
        <v>2.093798552630791</v>
      </c>
      <c r="BS53" s="1">
        <f t="shared" si="26"/>
        <v>1.3276061089947648</v>
      </c>
      <c r="BT53" s="1">
        <f t="shared" si="26"/>
        <v>2.0586199639415632</v>
      </c>
      <c r="BU53" s="1">
        <f t="shared" si="26"/>
        <v>1.003948737721762</v>
      </c>
      <c r="BV53" s="1">
        <f t="shared" si="26"/>
        <v>0.89490647772702936</v>
      </c>
      <c r="BW53" s="1">
        <f t="shared" si="26"/>
        <v>0.92330474777026728</v>
      </c>
      <c r="BX53" s="1">
        <f t="shared" si="25"/>
        <v>0.75652676992441736</v>
      </c>
      <c r="BY53" s="1">
        <f t="shared" si="25"/>
        <v>1.2454634747192375</v>
      </c>
      <c r="BZ53" s="1">
        <f t="shared" si="25"/>
        <v>1.5652820505513751</v>
      </c>
      <c r="CA53" s="1">
        <f t="shared" si="25"/>
        <v>2.0104793360283817</v>
      </c>
      <c r="CB53" s="1">
        <f t="shared" si="25"/>
        <v>1.8188450387677664</v>
      </c>
      <c r="CC53" s="1">
        <f t="shared" si="25"/>
        <v>8.5181166521293576</v>
      </c>
      <c r="CD53" s="1">
        <f t="shared" si="25"/>
        <v>10.143126440481142</v>
      </c>
      <c r="CE53" s="1">
        <f t="shared" si="25"/>
        <v>7.7533750817602654</v>
      </c>
      <c r="CF53" s="1">
        <f t="shared" si="25"/>
        <v>7.961572559527041</v>
      </c>
      <c r="CH53" s="1" t="s">
        <v>65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1</v>
      </c>
      <c r="CX53" s="1">
        <v>0</v>
      </c>
      <c r="CY53" s="1">
        <v>0</v>
      </c>
      <c r="CZ53" s="1">
        <v>0</v>
      </c>
      <c r="DA53" s="1">
        <v>0</v>
      </c>
      <c r="DB53" s="1">
        <v>0</v>
      </c>
      <c r="DC53" s="1">
        <v>0</v>
      </c>
      <c r="DD53" s="1">
        <v>0</v>
      </c>
      <c r="DE53" s="1">
        <v>0</v>
      </c>
      <c r="DF53" s="1">
        <v>0</v>
      </c>
      <c r="DG53" s="1">
        <v>0</v>
      </c>
      <c r="DH53" s="1">
        <v>0</v>
      </c>
      <c r="DI53" s="1">
        <v>0</v>
      </c>
      <c r="DJ53" s="1">
        <v>0</v>
      </c>
      <c r="DK53" s="1">
        <v>0</v>
      </c>
      <c r="DL53" s="1">
        <v>0</v>
      </c>
      <c r="DM53" s="1">
        <v>0</v>
      </c>
      <c r="DN53" s="1">
        <v>0</v>
      </c>
      <c r="DO53" s="1">
        <v>0</v>
      </c>
      <c r="DP53" s="1">
        <v>0</v>
      </c>
      <c r="DQ53" s="1">
        <v>0</v>
      </c>
      <c r="DR53" s="1">
        <v>0</v>
      </c>
      <c r="DS53" s="1">
        <v>0</v>
      </c>
      <c r="DT53" s="1">
        <v>0</v>
      </c>
      <c r="DU53" s="1">
        <v>0</v>
      </c>
      <c r="DV53" s="1">
        <v>0</v>
      </c>
      <c r="DW53" s="1">
        <v>0</v>
      </c>
      <c r="DX53" s="1">
        <v>0</v>
      </c>
      <c r="DY53" s="1">
        <v>0</v>
      </c>
      <c r="DZ53" s="1">
        <v>0</v>
      </c>
      <c r="EA53" s="1">
        <v>0</v>
      </c>
      <c r="EB53" s="1">
        <v>0</v>
      </c>
      <c r="EC53" s="1">
        <v>0</v>
      </c>
      <c r="ED53" s="1">
        <v>0</v>
      </c>
      <c r="EE53" s="1">
        <v>0</v>
      </c>
      <c r="EF53" s="1">
        <v>0</v>
      </c>
      <c r="EG53" s="1">
        <v>0</v>
      </c>
      <c r="EH53" s="1">
        <v>0</v>
      </c>
      <c r="EI53" s="1">
        <v>0</v>
      </c>
      <c r="EJ53" s="1">
        <v>0</v>
      </c>
      <c r="EK53" s="1">
        <v>0</v>
      </c>
      <c r="EL53" s="1">
        <v>0</v>
      </c>
      <c r="EM53" s="1">
        <v>0</v>
      </c>
      <c r="EN53" s="1">
        <v>0</v>
      </c>
      <c r="EO53" s="1">
        <v>0</v>
      </c>
      <c r="EP53" s="1">
        <v>0</v>
      </c>
      <c r="EQ53" s="1">
        <v>0</v>
      </c>
      <c r="ER53" s="1">
        <v>0</v>
      </c>
      <c r="ES53" s="1">
        <v>0</v>
      </c>
      <c r="ET53" s="1">
        <v>0</v>
      </c>
      <c r="EU53" s="1">
        <v>0</v>
      </c>
      <c r="EV53" s="1">
        <v>0</v>
      </c>
      <c r="EW53" s="1">
        <v>0</v>
      </c>
      <c r="EX53" s="1">
        <v>0</v>
      </c>
      <c r="EY53" s="1">
        <v>0</v>
      </c>
      <c r="EZ53" s="1">
        <v>0</v>
      </c>
      <c r="FA53" s="1">
        <v>0</v>
      </c>
      <c r="FB53" s="1">
        <v>0</v>
      </c>
      <c r="FC53" s="1">
        <v>0</v>
      </c>
      <c r="FD53" s="1">
        <v>0</v>
      </c>
      <c r="FE53" s="1">
        <f t="shared" si="0"/>
        <v>0</v>
      </c>
    </row>
    <row r="54" spans="5:161" ht="15.75" thickBot="1" x14ac:dyDescent="0.3">
      <c r="E54" s="1" t="s">
        <v>67</v>
      </c>
      <c r="F54" s="1">
        <v>3</v>
      </c>
      <c r="H54" s="1" t="s">
        <v>138</v>
      </c>
      <c r="I54" s="2">
        <v>33.695838299999998</v>
      </c>
      <c r="J54" s="2">
        <v>-7.3893291999999997</v>
      </c>
      <c r="K54" s="1">
        <f t="shared" si="3"/>
        <v>5.440702876407606</v>
      </c>
      <c r="L54" s="1">
        <f t="shared" si="26"/>
        <v>4.7249554800633033</v>
      </c>
      <c r="M54" s="1">
        <f t="shared" si="26"/>
        <v>4.1985495083479165</v>
      </c>
      <c r="N54" s="1">
        <f t="shared" si="26"/>
        <v>5.2653537990977712</v>
      </c>
      <c r="O54" s="1">
        <f t="shared" si="26"/>
        <v>5.2074711405080389</v>
      </c>
      <c r="P54" s="1">
        <f t="shared" si="26"/>
        <v>4.0715922514233815</v>
      </c>
      <c r="Q54" s="1">
        <f t="shared" si="26"/>
        <v>4.8624040636147345</v>
      </c>
      <c r="R54" s="1">
        <f t="shared" si="26"/>
        <v>2.1551682329965134</v>
      </c>
      <c r="S54" s="1">
        <f t="shared" si="26"/>
        <v>2.5486106531430011</v>
      </c>
      <c r="T54" s="1">
        <f t="shared" si="26"/>
        <v>3.2284053731021309</v>
      </c>
      <c r="U54" s="1">
        <f t="shared" si="26"/>
        <v>1.641600844224175</v>
      </c>
      <c r="V54" s="1">
        <f t="shared" si="26"/>
        <v>3.2248869424178657</v>
      </c>
      <c r="W54" s="1">
        <f t="shared" si="26"/>
        <v>5.3846087920633163</v>
      </c>
      <c r="X54" s="1">
        <f t="shared" si="26"/>
        <v>2.3317772330546611</v>
      </c>
      <c r="Y54" s="1">
        <f t="shared" si="26"/>
        <v>1.8464312026846073</v>
      </c>
      <c r="Z54" s="1">
        <f t="shared" si="26"/>
        <v>3.4430940715877525</v>
      </c>
      <c r="AA54" s="1">
        <f t="shared" si="26"/>
        <v>2.8165722649366756</v>
      </c>
      <c r="AB54" s="1">
        <f t="shared" si="26"/>
        <v>2.8373779379512571</v>
      </c>
      <c r="AC54" s="1">
        <f t="shared" si="26"/>
        <v>2.8602909392682285</v>
      </c>
      <c r="AD54" s="1">
        <f t="shared" si="26"/>
        <v>3.7082871361946772</v>
      </c>
      <c r="AE54" s="1">
        <f t="shared" si="26"/>
        <v>2.3972010750555683</v>
      </c>
      <c r="AF54" s="1">
        <f t="shared" si="26"/>
        <v>1.8682513853723701</v>
      </c>
      <c r="AG54" s="1">
        <f t="shared" si="26"/>
        <v>1.8964721268160769</v>
      </c>
      <c r="AH54" s="1">
        <f t="shared" si="26"/>
        <v>2.2881142467626758</v>
      </c>
      <c r="AI54" s="1">
        <f t="shared" si="26"/>
        <v>2.2443275601203427</v>
      </c>
      <c r="AJ54" s="1">
        <f t="shared" si="26"/>
        <v>2.5592494299325983</v>
      </c>
      <c r="AK54" s="1">
        <f t="shared" si="26"/>
        <v>2.680400065388969</v>
      </c>
      <c r="AL54" s="1">
        <f t="shared" si="26"/>
        <v>2.8793910844170396</v>
      </c>
      <c r="AM54" s="1">
        <f t="shared" si="26"/>
        <v>3.4212069928921189</v>
      </c>
      <c r="AN54" s="1">
        <f t="shared" si="26"/>
        <v>5.4127384561527077</v>
      </c>
      <c r="AO54" s="1">
        <f t="shared" si="26"/>
        <v>6.4978222327987378</v>
      </c>
      <c r="AP54" s="1">
        <f t="shared" si="26"/>
        <v>6.4349614571252172</v>
      </c>
      <c r="AQ54" s="1">
        <f t="shared" si="26"/>
        <v>5.1356437916900939</v>
      </c>
      <c r="AR54" s="1">
        <f t="shared" si="26"/>
        <v>2.6170114428180362</v>
      </c>
      <c r="AS54" s="1">
        <f t="shared" si="26"/>
        <v>2.8668911829635002</v>
      </c>
      <c r="AT54" s="1">
        <f t="shared" si="26"/>
        <v>2.7520121757778346</v>
      </c>
      <c r="AU54" s="1">
        <f t="shared" si="26"/>
        <v>2.6970976331556376</v>
      </c>
      <c r="AV54" s="1">
        <f t="shared" si="26"/>
        <v>1.9434270211082789</v>
      </c>
      <c r="AW54" s="1">
        <f t="shared" si="26"/>
        <v>3.7902410045690678</v>
      </c>
      <c r="AX54" s="1">
        <f t="shared" si="26"/>
        <v>2.5761941637053134</v>
      </c>
      <c r="AY54" s="1">
        <f t="shared" si="26"/>
        <v>2.1192332875925035</v>
      </c>
      <c r="AZ54" s="1">
        <f t="shared" si="26"/>
        <v>3.9536779440691889</v>
      </c>
      <c r="BA54" s="1">
        <f t="shared" si="26"/>
        <v>3.975362972269501</v>
      </c>
      <c r="BB54" s="1">
        <f t="shared" si="26"/>
        <v>4.16884628522953</v>
      </c>
      <c r="BC54" s="1">
        <f t="shared" si="26"/>
        <v>3.5463777799225729</v>
      </c>
      <c r="BD54" s="1">
        <f t="shared" si="26"/>
        <v>4.632759732125094</v>
      </c>
      <c r="BE54" s="1">
        <f t="shared" si="26"/>
        <v>3.9918474666129824</v>
      </c>
      <c r="BF54" s="1">
        <f t="shared" si="26"/>
        <v>0.25196954893766316</v>
      </c>
      <c r="BG54" s="5">
        <v>9999999</v>
      </c>
      <c r="BH54" s="1">
        <f t="shared" si="26"/>
        <v>1.2033742887668326</v>
      </c>
      <c r="BI54" s="1">
        <f t="shared" si="26"/>
        <v>0.39089799864405433</v>
      </c>
      <c r="BJ54" s="1">
        <f t="shared" si="26"/>
        <v>0.27263692816258134</v>
      </c>
      <c r="BK54" s="1">
        <f t="shared" si="26"/>
        <v>0.27775510100845191</v>
      </c>
      <c r="BL54" s="1">
        <f t="shared" si="26"/>
        <v>0.46916738012886106</v>
      </c>
      <c r="BM54" s="1">
        <f t="shared" si="26"/>
        <v>0.73075886157782932</v>
      </c>
      <c r="BN54" s="1">
        <f t="shared" si="26"/>
        <v>1.4707563027276311</v>
      </c>
      <c r="BO54" s="1">
        <f t="shared" si="26"/>
        <v>12.909049313801146</v>
      </c>
      <c r="BP54" s="1">
        <f t="shared" si="26"/>
        <v>13.597422683560849</v>
      </c>
      <c r="BQ54" s="1">
        <f t="shared" si="26"/>
        <v>1.7109535076809441</v>
      </c>
      <c r="BR54" s="1">
        <f t="shared" si="26"/>
        <v>2.0612773243271905</v>
      </c>
      <c r="BS54" s="1">
        <f t="shared" si="26"/>
        <v>1.3010116825467783</v>
      </c>
      <c r="BT54" s="1">
        <f t="shared" si="26"/>
        <v>1.8801585729910364</v>
      </c>
      <c r="BU54" s="1">
        <f t="shared" si="26"/>
        <v>0.94187194215324432</v>
      </c>
      <c r="BV54" s="1">
        <f t="shared" si="26"/>
        <v>0.64419118654316465</v>
      </c>
      <c r="BW54" s="1">
        <f t="shared" si="26"/>
        <v>0.67291939980901838</v>
      </c>
      <c r="BX54" s="1">
        <f t="shared" si="25"/>
        <v>0.51276162051722762</v>
      </c>
      <c r="BY54" s="1">
        <f t="shared" si="25"/>
        <v>0.99723576943916858</v>
      </c>
      <c r="BZ54" s="1">
        <f t="shared" si="25"/>
        <v>1.3235705768100652</v>
      </c>
      <c r="CA54" s="1">
        <f t="shared" si="25"/>
        <v>1.7597842917001889</v>
      </c>
      <c r="CB54" s="1">
        <f t="shared" si="25"/>
        <v>1.5671016552165755</v>
      </c>
      <c r="CC54" s="1">
        <f t="shared" si="25"/>
        <v>8.7463887497542707</v>
      </c>
      <c r="CD54" s="1">
        <f t="shared" si="25"/>
        <v>10.37433264990093</v>
      </c>
      <c r="CE54" s="1">
        <f t="shared" si="25"/>
        <v>7.9857289385216434</v>
      </c>
      <c r="CF54" s="1">
        <f t="shared" si="25"/>
        <v>8.1674860853092071</v>
      </c>
      <c r="CH54" s="1" t="s">
        <v>66</v>
      </c>
      <c r="CI54" s="1">
        <v>0</v>
      </c>
      <c r="CJ54" s="1">
        <v>0</v>
      </c>
      <c r="CK54" s="1">
        <v>0</v>
      </c>
      <c r="CL54" s="1">
        <v>0</v>
      </c>
      <c r="CM54" s="1">
        <v>0</v>
      </c>
      <c r="CN54" s="1">
        <v>0</v>
      </c>
      <c r="CO54" s="1">
        <v>0</v>
      </c>
      <c r="CP54" s="1">
        <v>0</v>
      </c>
      <c r="CQ54" s="1">
        <v>0</v>
      </c>
      <c r="CR54" s="1">
        <v>0</v>
      </c>
      <c r="CS54" s="1">
        <v>0</v>
      </c>
      <c r="CT54" s="1">
        <v>0</v>
      </c>
      <c r="CU54" s="1">
        <v>0</v>
      </c>
      <c r="CV54" s="1">
        <v>0</v>
      </c>
      <c r="CW54" s="1">
        <v>0</v>
      </c>
      <c r="CX54" s="1">
        <v>0</v>
      </c>
      <c r="CY54" s="1">
        <v>0</v>
      </c>
      <c r="CZ54" s="1">
        <v>0</v>
      </c>
      <c r="DA54" s="1">
        <v>0</v>
      </c>
      <c r="DB54" s="1">
        <v>0</v>
      </c>
      <c r="DC54" s="1">
        <v>0</v>
      </c>
      <c r="DD54" s="1">
        <v>0</v>
      </c>
      <c r="DE54" s="1">
        <v>0</v>
      </c>
      <c r="DF54" s="1">
        <v>0</v>
      </c>
      <c r="DG54" s="1">
        <v>0</v>
      </c>
      <c r="DH54" s="1">
        <v>0</v>
      </c>
      <c r="DI54" s="1">
        <v>0</v>
      </c>
      <c r="DJ54" s="1">
        <v>0</v>
      </c>
      <c r="DK54" s="1">
        <v>0</v>
      </c>
      <c r="DL54" s="1">
        <v>0</v>
      </c>
      <c r="DM54" s="1">
        <v>0</v>
      </c>
      <c r="DN54" s="1">
        <v>0</v>
      </c>
      <c r="DO54" s="1">
        <v>0</v>
      </c>
      <c r="DP54" s="1">
        <v>0</v>
      </c>
      <c r="DQ54" s="1">
        <v>0</v>
      </c>
      <c r="DR54" s="1">
        <v>0</v>
      </c>
      <c r="DS54" s="1">
        <v>0</v>
      </c>
      <c r="DT54" s="1">
        <v>0</v>
      </c>
      <c r="DU54" s="1">
        <v>0</v>
      </c>
      <c r="DV54" s="1">
        <v>0</v>
      </c>
      <c r="DW54" s="1">
        <v>0</v>
      </c>
      <c r="DX54" s="1">
        <v>0</v>
      </c>
      <c r="DY54" s="1">
        <v>0</v>
      </c>
      <c r="DZ54" s="1">
        <v>0</v>
      </c>
      <c r="EA54" s="1">
        <v>0</v>
      </c>
      <c r="EB54" s="1">
        <v>0</v>
      </c>
      <c r="EC54" s="1">
        <v>0</v>
      </c>
      <c r="ED54" s="1">
        <v>1</v>
      </c>
      <c r="EE54" s="1">
        <v>0</v>
      </c>
      <c r="EF54" s="1">
        <v>0</v>
      </c>
      <c r="EG54" s="1">
        <v>0</v>
      </c>
      <c r="EH54" s="1">
        <v>0</v>
      </c>
      <c r="EI54" s="1">
        <v>0</v>
      </c>
      <c r="EJ54" s="1">
        <v>0</v>
      </c>
      <c r="EK54" s="1">
        <v>0</v>
      </c>
      <c r="EL54" s="1">
        <v>0</v>
      </c>
      <c r="EM54" s="1">
        <v>0</v>
      </c>
      <c r="EN54" s="1">
        <v>0</v>
      </c>
      <c r="EO54" s="1">
        <v>0</v>
      </c>
      <c r="EP54" s="1">
        <v>0</v>
      </c>
      <c r="EQ54" s="1">
        <v>0</v>
      </c>
      <c r="ER54" s="1">
        <v>0</v>
      </c>
      <c r="ES54" s="1">
        <v>0</v>
      </c>
      <c r="ET54" s="1">
        <v>0</v>
      </c>
      <c r="EU54" s="1">
        <v>0</v>
      </c>
      <c r="EV54" s="1">
        <v>0</v>
      </c>
      <c r="EW54" s="1">
        <v>0</v>
      </c>
      <c r="EX54" s="1">
        <v>0</v>
      </c>
      <c r="EY54" s="1">
        <v>0</v>
      </c>
      <c r="EZ54" s="1">
        <v>0</v>
      </c>
      <c r="FA54" s="1">
        <v>0</v>
      </c>
      <c r="FB54" s="1">
        <v>0</v>
      </c>
      <c r="FC54" s="1">
        <v>0</v>
      </c>
      <c r="FD54" s="1">
        <v>0</v>
      </c>
      <c r="FE54" s="1">
        <f t="shared" si="0"/>
        <v>0</v>
      </c>
    </row>
    <row r="55" spans="5:161" ht="15.75" thickBot="1" x14ac:dyDescent="0.3">
      <c r="E55" s="1" t="s">
        <v>68</v>
      </c>
      <c r="F55" s="1">
        <v>8</v>
      </c>
      <c r="H55" s="1" t="s">
        <v>139</v>
      </c>
      <c r="I55" s="2">
        <v>33.2336952</v>
      </c>
      <c r="J55" s="2">
        <v>-8.5004248007416603</v>
      </c>
      <c r="K55" s="1">
        <f t="shared" si="3"/>
        <v>6.6214645594412778</v>
      </c>
      <c r="L55" s="1">
        <f t="shared" si="26"/>
        <v>5.9260721228266124</v>
      </c>
      <c r="M55" s="1">
        <f t="shared" si="26"/>
        <v>5.3986177057593165</v>
      </c>
      <c r="N55" s="1">
        <f t="shared" si="26"/>
        <v>6.4312384726663803</v>
      </c>
      <c r="O55" s="1">
        <f t="shared" si="26"/>
        <v>6.3990328966024936</v>
      </c>
      <c r="P55" s="1">
        <f t="shared" si="26"/>
        <v>5.2427619778331467</v>
      </c>
      <c r="Q55" s="1">
        <f t="shared" si="26"/>
        <v>5.8953340814007644</v>
      </c>
      <c r="R55" s="1">
        <f t="shared" si="26"/>
        <v>1.6871974417609272</v>
      </c>
      <c r="S55" s="1">
        <f t="shared" si="26"/>
        <v>1.7065786865712369</v>
      </c>
      <c r="T55" s="1">
        <f t="shared" si="26"/>
        <v>2.1371672538264765</v>
      </c>
      <c r="U55" s="1">
        <f t="shared" si="26"/>
        <v>1.608416914656251</v>
      </c>
      <c r="V55" s="1">
        <f t="shared" si="26"/>
        <v>2.1346255273656807</v>
      </c>
      <c r="W55" s="1">
        <f t="shared" si="26"/>
        <v>6.5746817770102064</v>
      </c>
      <c r="X55" s="1">
        <f t="shared" si="26"/>
        <v>1.212975164684982</v>
      </c>
      <c r="Y55" s="1">
        <f t="shared" si="26"/>
        <v>0.98841279804937354</v>
      </c>
      <c r="Z55" s="1">
        <f t="shared" si="26"/>
        <v>4.2704978260988424</v>
      </c>
      <c r="AA55" s="1">
        <f t="shared" si="26"/>
        <v>2.8069215172437247</v>
      </c>
      <c r="AB55" s="1">
        <f t="shared" si="26"/>
        <v>3.8010213851797983</v>
      </c>
      <c r="AC55" s="1">
        <f t="shared" si="26"/>
        <v>3.4276382949477102</v>
      </c>
      <c r="AD55" s="1">
        <f t="shared" si="26"/>
        <v>3.9415672586290071</v>
      </c>
      <c r="AE55" s="1">
        <f t="shared" si="26"/>
        <v>3.5751095181591737</v>
      </c>
      <c r="AF55" s="1">
        <f t="shared" si="26"/>
        <v>3.041788691048148</v>
      </c>
      <c r="AG55" s="1">
        <f t="shared" si="26"/>
        <v>3.0433086575563717</v>
      </c>
      <c r="AH55" s="1">
        <f t="shared" si="26"/>
        <v>3.40572253430182</v>
      </c>
      <c r="AI55" s="1">
        <f t="shared" si="26"/>
        <v>3.4289796223731015</v>
      </c>
      <c r="AJ55" s="1">
        <f t="shared" si="26"/>
        <v>3.7144395301650484</v>
      </c>
      <c r="AK55" s="1">
        <f t="shared" si="26"/>
        <v>3.7730934552247293</v>
      </c>
      <c r="AL55" s="1">
        <f t="shared" si="26"/>
        <v>4.078759413077643</v>
      </c>
      <c r="AM55" s="1">
        <f t="shared" si="26"/>
        <v>4.5995557423069968</v>
      </c>
      <c r="AN55" s="1">
        <f t="shared" si="26"/>
        <v>4.5237068105809568</v>
      </c>
      <c r="AO55" s="1">
        <f t="shared" si="26"/>
        <v>5.8458299262448001</v>
      </c>
      <c r="AP55" s="1">
        <f t="shared" si="26"/>
        <v>5.4547068609764393</v>
      </c>
      <c r="AQ55" s="1">
        <f t="shared" si="26"/>
        <v>4.2012394199166687</v>
      </c>
      <c r="AR55" s="1">
        <f t="shared" si="26"/>
        <v>3.7074873606758563</v>
      </c>
      <c r="AS55" s="1">
        <f t="shared" si="26"/>
        <v>4.0119212081696798</v>
      </c>
      <c r="AT55" s="1">
        <f t="shared" si="26"/>
        <v>3.9028110608269206</v>
      </c>
      <c r="AU55" s="1">
        <f t="shared" si="26"/>
        <v>3.8065540859123064</v>
      </c>
      <c r="AV55" s="1">
        <f t="shared" si="26"/>
        <v>3.0591569130280973</v>
      </c>
      <c r="AW55" s="1">
        <f t="shared" si="26"/>
        <v>4.9932843184419227</v>
      </c>
      <c r="AX55" s="1">
        <f t="shared" si="26"/>
        <v>3.7606208206232097</v>
      </c>
      <c r="AY55" s="1">
        <f t="shared" si="26"/>
        <v>3.3137362053737229</v>
      </c>
      <c r="AZ55" s="1">
        <f t="shared" si="26"/>
        <v>3.0216497313393904</v>
      </c>
      <c r="BA55" s="1">
        <f t="shared" si="26"/>
        <v>3.0614596102990603</v>
      </c>
      <c r="BB55" s="1">
        <f t="shared" si="26"/>
        <v>3.331461823574934</v>
      </c>
      <c r="BC55" s="1">
        <f t="shared" si="26"/>
        <v>2.7859643405233014</v>
      </c>
      <c r="BD55" s="1">
        <f t="shared" si="26"/>
        <v>3.7432254277799752</v>
      </c>
      <c r="BE55" s="1">
        <f t="shared" si="26"/>
        <v>3.5274712136919986</v>
      </c>
      <c r="BF55" s="1">
        <f t="shared" si="26"/>
        <v>0.95146640378287217</v>
      </c>
      <c r="BG55" s="1">
        <f t="shared" si="26"/>
        <v>1.2033742887668326</v>
      </c>
      <c r="BH55" s="5">
        <v>9999999</v>
      </c>
      <c r="BI55" s="1">
        <f t="shared" si="26"/>
        <v>0.89348202355517137</v>
      </c>
      <c r="BJ55" s="1">
        <f t="shared" si="26"/>
        <v>1.0059136460948301</v>
      </c>
      <c r="BK55" s="1">
        <f t="shared" si="26"/>
        <v>1.4296934668438652</v>
      </c>
      <c r="BL55" s="1">
        <f t="shared" si="26"/>
        <v>0.9199060788139376</v>
      </c>
      <c r="BM55" s="1">
        <f t="shared" si="26"/>
        <v>0.91042896360464509</v>
      </c>
      <c r="BN55" s="1">
        <f t="shared" si="26"/>
        <v>0.58787750175377507</v>
      </c>
      <c r="BO55" s="1">
        <f t="shared" si="26"/>
        <v>11.895817970740254</v>
      </c>
      <c r="BP55" s="1">
        <f t="shared" si="26"/>
        <v>12.645752370774323</v>
      </c>
      <c r="BQ55" s="1">
        <f t="shared" si="26"/>
        <v>2.3278957923957213</v>
      </c>
      <c r="BR55" s="1">
        <f t="shared" si="26"/>
        <v>2.47717652215576</v>
      </c>
      <c r="BS55" s="1">
        <f t="shared" si="26"/>
        <v>1.7980481601791534</v>
      </c>
      <c r="BT55" s="1">
        <f t="shared" si="26"/>
        <v>2.8464086249451022</v>
      </c>
      <c r="BU55" s="1">
        <f t="shared" si="26"/>
        <v>1.6288369350853751</v>
      </c>
      <c r="BV55" s="1">
        <f t="shared" si="26"/>
        <v>1.8436078201498305</v>
      </c>
      <c r="BW55" s="1">
        <f t="shared" ref="BW55:CF58" si="27">SQRT(POWER($I55-BW$4,2)+POWER(BW$5-$J55,2))</f>
        <v>1.8713649167280979</v>
      </c>
      <c r="BX55" s="1">
        <f t="shared" si="27"/>
        <v>1.700805965826413</v>
      </c>
      <c r="BY55" s="1">
        <f t="shared" si="27"/>
        <v>2.1882847871270932</v>
      </c>
      <c r="BZ55" s="1">
        <f t="shared" si="27"/>
        <v>2.5000461517141064</v>
      </c>
      <c r="CA55" s="1">
        <f t="shared" si="27"/>
        <v>2.9603980022327838</v>
      </c>
      <c r="CB55" s="1">
        <f t="shared" si="27"/>
        <v>2.7702462444966729</v>
      </c>
      <c r="CC55" s="1">
        <f t="shared" si="27"/>
        <v>7.6810927816468517</v>
      </c>
      <c r="CD55" s="1">
        <f t="shared" si="27"/>
        <v>9.2905089888689574</v>
      </c>
      <c r="CE55" s="1">
        <f t="shared" si="27"/>
        <v>6.8991841150050437</v>
      </c>
      <c r="CF55" s="1">
        <f t="shared" si="27"/>
        <v>7.2259452180497883</v>
      </c>
      <c r="CH55" s="1" t="s">
        <v>67</v>
      </c>
      <c r="CI55" s="1">
        <v>0</v>
      </c>
      <c r="CJ55" s="1">
        <v>0</v>
      </c>
      <c r="CK55" s="1">
        <v>0</v>
      </c>
      <c r="CL55" s="1">
        <v>0</v>
      </c>
      <c r="CM55" s="1">
        <v>0</v>
      </c>
      <c r="CN55" s="1">
        <v>0</v>
      </c>
      <c r="CO55" s="1">
        <v>0</v>
      </c>
      <c r="CP55" s="1">
        <v>0</v>
      </c>
      <c r="CQ55" s="1">
        <v>0</v>
      </c>
      <c r="CR55" s="1">
        <v>0</v>
      </c>
      <c r="CS55" s="1">
        <v>0</v>
      </c>
      <c r="CT55" s="1">
        <v>0</v>
      </c>
      <c r="CU55" s="1">
        <v>0</v>
      </c>
      <c r="CV55" s="1">
        <v>0</v>
      </c>
      <c r="CW55" s="1">
        <v>0</v>
      </c>
      <c r="CX55" s="1">
        <v>0</v>
      </c>
      <c r="CY55" s="1">
        <v>0</v>
      </c>
      <c r="CZ55" s="1">
        <v>0</v>
      </c>
      <c r="DA55" s="1">
        <v>0</v>
      </c>
      <c r="DB55" s="1">
        <v>0</v>
      </c>
      <c r="DC55" s="1">
        <v>0</v>
      </c>
      <c r="DD55" s="1">
        <v>0</v>
      </c>
      <c r="DE55" s="1">
        <v>0</v>
      </c>
      <c r="DF55" s="1">
        <v>0</v>
      </c>
      <c r="DG55" s="1">
        <v>0</v>
      </c>
      <c r="DH55" s="1">
        <v>0</v>
      </c>
      <c r="DI55" s="1">
        <v>0</v>
      </c>
      <c r="DJ55" s="1">
        <v>0</v>
      </c>
      <c r="DK55" s="1">
        <v>0</v>
      </c>
      <c r="DL55" s="1">
        <v>0</v>
      </c>
      <c r="DM55" s="1">
        <v>0</v>
      </c>
      <c r="DN55" s="1">
        <v>0</v>
      </c>
      <c r="DO55" s="1">
        <v>0</v>
      </c>
      <c r="DP55" s="1">
        <v>0</v>
      </c>
      <c r="DQ55" s="1">
        <v>0</v>
      </c>
      <c r="DR55" s="1">
        <v>0</v>
      </c>
      <c r="DS55" s="1">
        <v>0</v>
      </c>
      <c r="DT55" s="1">
        <v>0</v>
      </c>
      <c r="DU55" s="1">
        <v>0</v>
      </c>
      <c r="DV55" s="1">
        <v>0</v>
      </c>
      <c r="DW55" s="1">
        <v>0</v>
      </c>
      <c r="DX55" s="1">
        <v>0</v>
      </c>
      <c r="DY55" s="1">
        <v>0</v>
      </c>
      <c r="DZ55" s="1">
        <v>0</v>
      </c>
      <c r="EA55" s="1">
        <v>0</v>
      </c>
      <c r="EB55" s="1">
        <v>0</v>
      </c>
      <c r="EC55" s="1">
        <v>0</v>
      </c>
      <c r="ED55" s="1">
        <v>0</v>
      </c>
      <c r="EE55" s="1">
        <v>0</v>
      </c>
      <c r="EF55" s="1">
        <v>0</v>
      </c>
      <c r="EG55" s="1">
        <v>0</v>
      </c>
      <c r="EH55" s="1">
        <v>0</v>
      </c>
      <c r="EI55" s="1">
        <v>0</v>
      </c>
      <c r="EJ55" s="1">
        <v>0</v>
      </c>
      <c r="EK55" s="1">
        <v>0</v>
      </c>
      <c r="EL55" s="1">
        <v>0</v>
      </c>
      <c r="EM55" s="1">
        <v>0</v>
      </c>
      <c r="EN55" s="1">
        <v>0</v>
      </c>
      <c r="EO55" s="1">
        <v>0</v>
      </c>
      <c r="EP55" s="1">
        <v>0</v>
      </c>
      <c r="EQ55" s="1">
        <v>0</v>
      </c>
      <c r="ER55" s="1">
        <v>0</v>
      </c>
      <c r="ES55" s="1">
        <v>0</v>
      </c>
      <c r="ET55" s="1">
        <v>0</v>
      </c>
      <c r="EU55" s="1">
        <v>0</v>
      </c>
      <c r="EV55" s="1">
        <v>1</v>
      </c>
      <c r="EW55" s="1">
        <v>0</v>
      </c>
      <c r="EX55" s="1">
        <v>0</v>
      </c>
      <c r="EY55" s="1">
        <v>0</v>
      </c>
      <c r="EZ55" s="1">
        <v>0</v>
      </c>
      <c r="FA55" s="1">
        <v>0</v>
      </c>
      <c r="FB55" s="1">
        <v>0</v>
      </c>
      <c r="FC55" s="1">
        <v>0</v>
      </c>
      <c r="FD55" s="1">
        <v>0</v>
      </c>
      <c r="FE55" s="1">
        <f t="shared" si="0"/>
        <v>0</v>
      </c>
    </row>
    <row r="56" spans="5:161" ht="15.75" thickBot="1" x14ac:dyDescent="0.3">
      <c r="E56" s="1" t="s">
        <v>69</v>
      </c>
      <c r="F56" s="1">
        <v>4</v>
      </c>
      <c r="H56" s="1" t="s">
        <v>140</v>
      </c>
      <c r="I56" s="2">
        <v>33.379465000000003</v>
      </c>
      <c r="J56" s="2">
        <v>-7.6189140000000002</v>
      </c>
      <c r="K56" s="1">
        <f t="shared" si="3"/>
        <v>5.729516728757039</v>
      </c>
      <c r="L56" s="1">
        <f t="shared" ref="L56:BW59" si="28">SQRT(POWER($I56-L$4,2)+POWER(L$5-$J56,2))</f>
        <v>5.0487418068075982</v>
      </c>
      <c r="M56" s="1">
        <f t="shared" si="28"/>
        <v>4.5196394643716866</v>
      </c>
      <c r="N56" s="1">
        <f t="shared" si="28"/>
        <v>5.5377662672399772</v>
      </c>
      <c r="O56" s="1">
        <f t="shared" si="28"/>
        <v>5.5111456749062926</v>
      </c>
      <c r="P56" s="1">
        <f t="shared" si="28"/>
        <v>4.3496568664760202</v>
      </c>
      <c r="Q56" s="1">
        <f t="shared" si="28"/>
        <v>5.0354036870850818</v>
      </c>
      <c r="R56" s="1">
        <f t="shared" si="28"/>
        <v>1.792298381245361</v>
      </c>
      <c r="S56" s="1">
        <f t="shared" si="28"/>
        <v>2.158546779660738</v>
      </c>
      <c r="T56" s="1">
        <f t="shared" si="28"/>
        <v>2.8464038604888691</v>
      </c>
      <c r="U56" s="1">
        <f t="shared" si="28"/>
        <v>1.3420104649148636</v>
      </c>
      <c r="V56" s="1">
        <f t="shared" si="28"/>
        <v>2.8427578586864057</v>
      </c>
      <c r="W56" s="1">
        <f t="shared" si="28"/>
        <v>5.6859303667912569</v>
      </c>
      <c r="X56" s="1">
        <f t="shared" si="28"/>
        <v>1.9593985995029699</v>
      </c>
      <c r="Y56" s="1">
        <f t="shared" si="28"/>
        <v>1.4559265058789908</v>
      </c>
      <c r="Z56" s="1">
        <f t="shared" si="28"/>
        <v>3.4995362107234862</v>
      </c>
      <c r="AA56" s="1">
        <f t="shared" si="28"/>
        <v>2.5591541622311484</v>
      </c>
      <c r="AB56" s="1">
        <f t="shared" si="28"/>
        <v>2.9626854143180656</v>
      </c>
      <c r="AC56" s="1">
        <f t="shared" si="28"/>
        <v>2.7948820620421562</v>
      </c>
      <c r="AD56" s="1">
        <f t="shared" si="28"/>
        <v>3.5335459803892495</v>
      </c>
      <c r="AE56" s="1">
        <f t="shared" si="28"/>
        <v>2.6839207375614729</v>
      </c>
      <c r="AF56" s="1">
        <f t="shared" si="28"/>
        <v>2.1503062687124941</v>
      </c>
      <c r="AG56" s="1">
        <f t="shared" si="28"/>
        <v>2.1498959143682996</v>
      </c>
      <c r="AH56" s="1">
        <f t="shared" si="28"/>
        <v>2.5158711905890567</v>
      </c>
      <c r="AI56" s="1">
        <f t="shared" si="28"/>
        <v>2.5401429171308449</v>
      </c>
      <c r="AJ56" s="1">
        <f t="shared" si="28"/>
        <v>2.8209670950886676</v>
      </c>
      <c r="AK56" s="1">
        <f t="shared" si="28"/>
        <v>2.8893814658291643</v>
      </c>
      <c r="AL56" s="1">
        <f t="shared" si="28"/>
        <v>3.2001747178116697</v>
      </c>
      <c r="AM56" s="1">
        <f t="shared" si="28"/>
        <v>3.7077193923219163</v>
      </c>
      <c r="AN56" s="1">
        <f t="shared" si="28"/>
        <v>5.0244935351051323</v>
      </c>
      <c r="AO56" s="1">
        <f t="shared" si="28"/>
        <v>6.1349106775297617</v>
      </c>
      <c r="AP56" s="1">
        <f t="shared" si="28"/>
        <v>6.044100783263298</v>
      </c>
      <c r="AQ56" s="1">
        <f t="shared" si="28"/>
        <v>4.7453909905988532</v>
      </c>
      <c r="AR56" s="1">
        <f t="shared" si="28"/>
        <v>3.0078166373933781</v>
      </c>
      <c r="AS56" s="1">
        <f t="shared" si="28"/>
        <v>3.2524083534407895</v>
      </c>
      <c r="AT56" s="1">
        <f t="shared" si="28"/>
        <v>3.1364953167994596</v>
      </c>
      <c r="AU56" s="1">
        <f t="shared" si="28"/>
        <v>3.087107772993912</v>
      </c>
      <c r="AV56" s="1">
        <f t="shared" si="28"/>
        <v>2.3337033385510408</v>
      </c>
      <c r="AW56" s="1">
        <f t="shared" si="28"/>
        <v>4.1336860607918684</v>
      </c>
      <c r="AX56" s="1">
        <f t="shared" si="28"/>
        <v>2.9483004114080491</v>
      </c>
      <c r="AY56" s="1">
        <f t="shared" si="28"/>
        <v>2.4843579594142606</v>
      </c>
      <c r="AZ56" s="1">
        <f t="shared" si="28"/>
        <v>3.5630168019389559</v>
      </c>
      <c r="BA56" s="1">
        <f t="shared" si="28"/>
        <v>3.5851050646315681</v>
      </c>
      <c r="BB56" s="1">
        <f t="shared" si="28"/>
        <v>3.782323935956029</v>
      </c>
      <c r="BC56" s="1">
        <f t="shared" si="28"/>
        <v>3.1640511690318056</v>
      </c>
      <c r="BD56" s="1">
        <f t="shared" si="28"/>
        <v>4.2438999661086827</v>
      </c>
      <c r="BE56" s="1">
        <f t="shared" si="28"/>
        <v>3.6499594067534824</v>
      </c>
      <c r="BF56" s="1">
        <f t="shared" si="28"/>
        <v>0.21505228742731189</v>
      </c>
      <c r="BG56" s="1">
        <f t="shared" si="28"/>
        <v>0.39089799864405433</v>
      </c>
      <c r="BH56" s="1">
        <f t="shared" si="28"/>
        <v>0.89348202355517137</v>
      </c>
      <c r="BI56" s="5">
        <v>9999999</v>
      </c>
      <c r="BJ56" s="1">
        <f t="shared" si="28"/>
        <v>0.12566290809940589</v>
      </c>
      <c r="BK56" s="1">
        <f t="shared" si="28"/>
        <v>0.54977860121487454</v>
      </c>
      <c r="BL56" s="1">
        <f t="shared" si="28"/>
        <v>0.11799778637080813</v>
      </c>
      <c r="BM56" s="1">
        <f t="shared" si="28"/>
        <v>0.37706920430207636</v>
      </c>
      <c r="BN56" s="1">
        <f t="shared" si="28"/>
        <v>1.0860398468609382</v>
      </c>
      <c r="BO56" s="1">
        <f t="shared" si="28"/>
        <v>12.518155782609046</v>
      </c>
      <c r="BP56" s="1">
        <f t="shared" si="28"/>
        <v>13.207882561867633</v>
      </c>
      <c r="BQ56" s="1">
        <f t="shared" si="28"/>
        <v>1.6414273542332016</v>
      </c>
      <c r="BR56" s="1">
        <f t="shared" si="28"/>
        <v>1.9198901672782973</v>
      </c>
      <c r="BS56" s="1">
        <f t="shared" si="28"/>
        <v>1.157824924290247</v>
      </c>
      <c r="BT56" s="1">
        <f t="shared" si="28"/>
        <v>1.9991228671622976</v>
      </c>
      <c r="BU56" s="1">
        <f t="shared" si="28"/>
        <v>0.86465804965026583</v>
      </c>
      <c r="BV56" s="1">
        <f t="shared" si="28"/>
        <v>1.0145782960088567</v>
      </c>
      <c r="BW56" s="1">
        <f t="shared" si="28"/>
        <v>1.0443410747380346</v>
      </c>
      <c r="BX56" s="1">
        <f t="shared" si="27"/>
        <v>0.82638548579436177</v>
      </c>
      <c r="BY56" s="1">
        <f t="shared" si="27"/>
        <v>1.3723253754303288</v>
      </c>
      <c r="BZ56" s="1">
        <f t="shared" si="27"/>
        <v>1.610686809769359</v>
      </c>
      <c r="CA56" s="1">
        <f t="shared" si="27"/>
        <v>2.0870551433081497</v>
      </c>
      <c r="CB56" s="1">
        <f t="shared" si="27"/>
        <v>1.9070511239843557</v>
      </c>
      <c r="CC56" s="1">
        <f t="shared" si="27"/>
        <v>8.3574606102564815</v>
      </c>
      <c r="CD56" s="1">
        <f t="shared" si="27"/>
        <v>9.9866163102492305</v>
      </c>
      <c r="CE56" s="1">
        <f t="shared" si="27"/>
        <v>7.5987464937747164</v>
      </c>
      <c r="CF56" s="1">
        <f t="shared" si="27"/>
        <v>7.7777755988213668</v>
      </c>
      <c r="CH56" s="1" t="s">
        <v>68</v>
      </c>
      <c r="CI56" s="1">
        <v>0</v>
      </c>
      <c r="CJ56" s="1">
        <v>0</v>
      </c>
      <c r="CK56" s="1">
        <v>0</v>
      </c>
      <c r="CL56" s="1">
        <v>0</v>
      </c>
      <c r="CM56" s="1">
        <v>0</v>
      </c>
      <c r="CN56" s="1">
        <v>0</v>
      </c>
      <c r="CO56" s="1">
        <v>0</v>
      </c>
      <c r="CP56" s="1">
        <v>0</v>
      </c>
      <c r="CQ56" s="1">
        <v>0</v>
      </c>
      <c r="CR56" s="1">
        <v>0</v>
      </c>
      <c r="CS56" s="1">
        <v>0</v>
      </c>
      <c r="CT56" s="1">
        <v>0</v>
      </c>
      <c r="CU56" s="1">
        <v>0</v>
      </c>
      <c r="CV56" s="1">
        <v>0</v>
      </c>
      <c r="CW56" s="1">
        <v>0</v>
      </c>
      <c r="CX56" s="1">
        <v>0</v>
      </c>
      <c r="CY56" s="1">
        <v>0</v>
      </c>
      <c r="CZ56" s="1">
        <v>0</v>
      </c>
      <c r="DA56" s="1">
        <v>0</v>
      </c>
      <c r="DB56" s="1">
        <v>0</v>
      </c>
      <c r="DC56" s="1">
        <v>0</v>
      </c>
      <c r="DD56" s="1">
        <v>0</v>
      </c>
      <c r="DE56" s="1">
        <v>0</v>
      </c>
      <c r="DF56" s="1">
        <v>0</v>
      </c>
      <c r="DG56" s="1">
        <v>0</v>
      </c>
      <c r="DH56" s="1">
        <v>0</v>
      </c>
      <c r="DI56" s="1">
        <v>0</v>
      </c>
      <c r="DJ56" s="1">
        <v>0</v>
      </c>
      <c r="DK56" s="1">
        <v>0</v>
      </c>
      <c r="DL56" s="1">
        <v>0</v>
      </c>
      <c r="DM56" s="1">
        <v>0</v>
      </c>
      <c r="DN56" s="1">
        <v>0</v>
      </c>
      <c r="DO56" s="1">
        <v>0</v>
      </c>
      <c r="DP56" s="1">
        <v>0</v>
      </c>
      <c r="DQ56" s="1">
        <v>0</v>
      </c>
      <c r="DR56" s="1">
        <v>0</v>
      </c>
      <c r="DS56" s="1">
        <v>0</v>
      </c>
      <c r="DT56" s="1">
        <v>0</v>
      </c>
      <c r="DU56" s="1">
        <v>0</v>
      </c>
      <c r="DV56" s="1">
        <v>0</v>
      </c>
      <c r="DW56" s="1">
        <v>0</v>
      </c>
      <c r="DX56" s="1">
        <v>0</v>
      </c>
      <c r="DY56" s="1">
        <v>0</v>
      </c>
      <c r="DZ56" s="1">
        <v>0</v>
      </c>
      <c r="EA56" s="1">
        <v>0</v>
      </c>
      <c r="EB56" s="1">
        <v>0</v>
      </c>
      <c r="EC56" s="1">
        <v>0</v>
      </c>
      <c r="ED56" s="1">
        <v>0</v>
      </c>
      <c r="EE56" s="1">
        <v>0</v>
      </c>
      <c r="EF56" s="1">
        <v>0</v>
      </c>
      <c r="EG56" s="1">
        <v>0</v>
      </c>
      <c r="EH56" s="1">
        <v>1</v>
      </c>
      <c r="EI56" s="1">
        <v>0</v>
      </c>
      <c r="EJ56" s="1">
        <v>0</v>
      </c>
      <c r="EK56" s="1">
        <v>0</v>
      </c>
      <c r="EL56" s="1">
        <v>0</v>
      </c>
      <c r="EM56" s="1">
        <v>0</v>
      </c>
      <c r="EN56" s="1">
        <v>0</v>
      </c>
      <c r="EO56" s="1">
        <v>0</v>
      </c>
      <c r="EP56" s="1">
        <v>0</v>
      </c>
      <c r="EQ56" s="1">
        <v>0</v>
      </c>
      <c r="ER56" s="1">
        <v>0</v>
      </c>
      <c r="ES56" s="1">
        <v>0</v>
      </c>
      <c r="ET56" s="1">
        <v>0</v>
      </c>
      <c r="EU56" s="1">
        <v>0</v>
      </c>
      <c r="EV56" s="1">
        <v>0</v>
      </c>
      <c r="EW56" s="1">
        <v>0</v>
      </c>
      <c r="EX56" s="1">
        <v>0</v>
      </c>
      <c r="EY56" s="1">
        <v>0</v>
      </c>
      <c r="EZ56" s="1">
        <v>0</v>
      </c>
      <c r="FA56" s="1">
        <v>0</v>
      </c>
      <c r="FB56" s="1">
        <v>0</v>
      </c>
      <c r="FC56" s="1">
        <v>0</v>
      </c>
      <c r="FD56" s="1">
        <v>0</v>
      </c>
      <c r="FE56" s="1">
        <f t="shared" si="0"/>
        <v>0</v>
      </c>
    </row>
    <row r="57" spans="5:161" ht="15.75" thickBot="1" x14ac:dyDescent="0.3">
      <c r="E57" s="1" t="s">
        <v>70</v>
      </c>
      <c r="F57" s="1">
        <v>11</v>
      </c>
      <c r="H57" s="1" t="s">
        <v>141</v>
      </c>
      <c r="I57" s="2">
        <v>33.456251000000002</v>
      </c>
      <c r="J57" s="2">
        <v>-7.5194400000000003</v>
      </c>
      <c r="K57" s="1">
        <f t="shared" si="3"/>
        <v>5.6155639998918714</v>
      </c>
      <c r="L57" s="1">
        <f t="shared" si="28"/>
        <v>4.928346948056201</v>
      </c>
      <c r="M57" s="1">
        <f t="shared" si="28"/>
        <v>4.3995989117129755</v>
      </c>
      <c r="N57" s="1">
        <f t="shared" si="28"/>
        <v>5.4271186212318039</v>
      </c>
      <c r="O57" s="1">
        <f t="shared" si="28"/>
        <v>5.3943093260564821</v>
      </c>
      <c r="P57" s="1">
        <f t="shared" si="28"/>
        <v>4.2375159816394783</v>
      </c>
      <c r="Q57" s="1">
        <f t="shared" si="28"/>
        <v>4.9479030546489273</v>
      </c>
      <c r="R57" s="1">
        <f t="shared" si="28"/>
        <v>1.8897339518653771</v>
      </c>
      <c r="S57" s="1">
        <f t="shared" si="28"/>
        <v>2.2767239680676568</v>
      </c>
      <c r="T57" s="1">
        <f t="shared" si="28"/>
        <v>2.9718658065794172</v>
      </c>
      <c r="U57" s="1">
        <f t="shared" si="28"/>
        <v>1.4064420616011895</v>
      </c>
      <c r="V57" s="1">
        <f t="shared" si="28"/>
        <v>2.968208345472823</v>
      </c>
      <c r="W57" s="1">
        <f t="shared" si="28"/>
        <v>5.5695590826451404</v>
      </c>
      <c r="X57" s="1">
        <f t="shared" si="28"/>
        <v>2.084899350374235</v>
      </c>
      <c r="Y57" s="1">
        <f t="shared" si="28"/>
        <v>1.5784030462784222</v>
      </c>
      <c r="Z57" s="1">
        <f t="shared" si="28"/>
        <v>3.4426248393254375</v>
      </c>
      <c r="AA57" s="1">
        <f t="shared" si="28"/>
        <v>2.608042008605882</v>
      </c>
      <c r="AB57" s="1">
        <f t="shared" si="28"/>
        <v>2.885807738929433</v>
      </c>
      <c r="AC57" s="1">
        <f t="shared" si="28"/>
        <v>2.7743757367049278</v>
      </c>
      <c r="AD57" s="1">
        <f t="shared" si="28"/>
        <v>3.5518828805658855</v>
      </c>
      <c r="AE57" s="1">
        <f t="shared" si="28"/>
        <v>2.5692016039876129</v>
      </c>
      <c r="AF57" s="1">
        <f t="shared" si="28"/>
        <v>2.0358816628935608</v>
      </c>
      <c r="AG57" s="1">
        <f t="shared" si="28"/>
        <v>2.0410379238807699</v>
      </c>
      <c r="AH57" s="1">
        <f t="shared" si="28"/>
        <v>2.4130871849852418</v>
      </c>
      <c r="AI57" s="1">
        <f t="shared" si="28"/>
        <v>2.4236456632754719</v>
      </c>
      <c r="AJ57" s="1">
        <f t="shared" si="28"/>
        <v>2.711282963732299</v>
      </c>
      <c r="AK57" s="1">
        <f t="shared" si="28"/>
        <v>2.7913965251977619</v>
      </c>
      <c r="AL57" s="1">
        <f t="shared" si="28"/>
        <v>3.0798493121484052</v>
      </c>
      <c r="AM57" s="1">
        <f t="shared" si="28"/>
        <v>3.5936564335105832</v>
      </c>
      <c r="AN57" s="1">
        <f t="shared" si="28"/>
        <v>5.1401477992012694</v>
      </c>
      <c r="AO57" s="1">
        <f t="shared" si="28"/>
        <v>6.2332766499893033</v>
      </c>
      <c r="AP57" s="1">
        <f t="shared" si="28"/>
        <v>6.1642658976864393</v>
      </c>
      <c r="AQ57" s="1">
        <f t="shared" si="28"/>
        <v>4.8638165509791538</v>
      </c>
      <c r="AR57" s="1">
        <f t="shared" si="28"/>
        <v>2.8867394511192757</v>
      </c>
      <c r="AS57" s="1">
        <f t="shared" si="28"/>
        <v>3.1278447893027934</v>
      </c>
      <c r="AT57" s="1">
        <f t="shared" si="28"/>
        <v>3.0117098798107613</v>
      </c>
      <c r="AU57" s="1">
        <f t="shared" si="28"/>
        <v>2.964676856782523</v>
      </c>
      <c r="AV57" s="1">
        <f t="shared" si="28"/>
        <v>2.2116630382279934</v>
      </c>
      <c r="AW57" s="1">
        <f t="shared" si="28"/>
        <v>4.0103335409021783</v>
      </c>
      <c r="AX57" s="1">
        <f t="shared" si="28"/>
        <v>2.8226389384034225</v>
      </c>
      <c r="AY57" s="1">
        <f t="shared" si="28"/>
        <v>2.3588623513984439</v>
      </c>
      <c r="AZ57" s="1">
        <f t="shared" si="28"/>
        <v>3.6824230451140858</v>
      </c>
      <c r="BA57" s="1">
        <f t="shared" si="28"/>
        <v>3.7035686831600292</v>
      </c>
      <c r="BB57" s="1">
        <f t="shared" si="28"/>
        <v>3.896231599392407</v>
      </c>
      <c r="BC57" s="1">
        <f t="shared" si="28"/>
        <v>3.2744182206266088</v>
      </c>
      <c r="BD57" s="1">
        <f t="shared" si="28"/>
        <v>4.3602756211335159</v>
      </c>
      <c r="BE57" s="1">
        <f t="shared" si="28"/>
        <v>3.7370713690186625</v>
      </c>
      <c r="BF57" s="1">
        <f t="shared" si="28"/>
        <v>0.17098185282105169</v>
      </c>
      <c r="BG57" s="1">
        <f t="shared" si="28"/>
        <v>0.27263692816258134</v>
      </c>
      <c r="BH57" s="1">
        <f t="shared" si="28"/>
        <v>1.0059136460948301</v>
      </c>
      <c r="BI57" s="1">
        <f t="shared" si="28"/>
        <v>0.12566290809940589</v>
      </c>
      <c r="BJ57" s="5">
        <v>9999999</v>
      </c>
      <c r="BK57" s="1">
        <f t="shared" si="28"/>
        <v>0.42770883788998426</v>
      </c>
      <c r="BL57" s="1">
        <f t="shared" si="28"/>
        <v>0.19841560114872728</v>
      </c>
      <c r="BM57" s="1">
        <f t="shared" si="28"/>
        <v>0.46483226614016349</v>
      </c>
      <c r="BN57" s="1">
        <f t="shared" si="28"/>
        <v>1.2113592452674504</v>
      </c>
      <c r="BO57" s="1">
        <f t="shared" si="28"/>
        <v>12.638944737306746</v>
      </c>
      <c r="BP57" s="1">
        <f t="shared" si="28"/>
        <v>13.325107273175213</v>
      </c>
      <c r="BQ57" s="1">
        <f t="shared" si="28"/>
        <v>1.6182753246555439</v>
      </c>
      <c r="BR57" s="1">
        <f t="shared" si="28"/>
        <v>1.9228784124520168</v>
      </c>
      <c r="BS57" s="1">
        <f t="shared" si="28"/>
        <v>1.1566445567815551</v>
      </c>
      <c r="BT57" s="1">
        <f t="shared" si="28"/>
        <v>1.9216191511069005</v>
      </c>
      <c r="BU57" s="1">
        <f t="shared" si="28"/>
        <v>0.8355202288712108</v>
      </c>
      <c r="BV57" s="1">
        <f t="shared" si="28"/>
        <v>0.88897523049736193</v>
      </c>
      <c r="BW57" s="1">
        <f t="shared" si="28"/>
        <v>0.91875802253531158</v>
      </c>
      <c r="BX57" s="1">
        <f t="shared" si="27"/>
        <v>0.7035322916541803</v>
      </c>
      <c r="BY57" s="1">
        <f t="shared" si="27"/>
        <v>1.2467939032582718</v>
      </c>
      <c r="BZ57" s="1">
        <f t="shared" si="27"/>
        <v>1.4944010326953732</v>
      </c>
      <c r="CA57" s="1">
        <f t="shared" si="27"/>
        <v>1.9652057556289124</v>
      </c>
      <c r="CB57" s="1">
        <f t="shared" si="27"/>
        <v>1.7835009947005913</v>
      </c>
      <c r="CC57" s="1">
        <f t="shared" si="27"/>
        <v>8.4810581100246818</v>
      </c>
      <c r="CD57" s="1">
        <f t="shared" si="27"/>
        <v>10.110781373306512</v>
      </c>
      <c r="CE57" s="1">
        <f t="shared" si="27"/>
        <v>7.7231926271787312</v>
      </c>
      <c r="CF57" s="1">
        <f t="shared" si="27"/>
        <v>7.8952628714059321</v>
      </c>
      <c r="CH57" s="1" t="s">
        <v>69</v>
      </c>
      <c r="CI57" s="1">
        <v>0</v>
      </c>
      <c r="CJ57" s="1">
        <v>0</v>
      </c>
      <c r="CK57" s="1">
        <v>0</v>
      </c>
      <c r="CL57" s="1">
        <v>0</v>
      </c>
      <c r="CM57" s="1">
        <v>0</v>
      </c>
      <c r="CN57" s="1">
        <v>0</v>
      </c>
      <c r="CO57" s="1">
        <v>0</v>
      </c>
      <c r="CP57" s="1">
        <v>0</v>
      </c>
      <c r="CQ57" s="1">
        <v>0</v>
      </c>
      <c r="CR57" s="1">
        <v>0</v>
      </c>
      <c r="CS57" s="1">
        <v>0</v>
      </c>
      <c r="CT57" s="1">
        <v>0</v>
      </c>
      <c r="CU57" s="1">
        <v>0</v>
      </c>
      <c r="CV57" s="1">
        <v>0</v>
      </c>
      <c r="CW57" s="1">
        <v>0</v>
      </c>
      <c r="CX57" s="1">
        <v>0</v>
      </c>
      <c r="CY57" s="1">
        <v>0</v>
      </c>
      <c r="CZ57" s="1">
        <v>0</v>
      </c>
      <c r="DA57" s="1">
        <v>0</v>
      </c>
      <c r="DB57" s="1">
        <v>0</v>
      </c>
      <c r="DC57" s="1">
        <v>0</v>
      </c>
      <c r="DD57" s="1">
        <v>0</v>
      </c>
      <c r="DE57" s="1">
        <v>0</v>
      </c>
      <c r="DF57" s="1">
        <v>0</v>
      </c>
      <c r="DG57" s="1">
        <v>0</v>
      </c>
      <c r="DH57" s="1">
        <v>0</v>
      </c>
      <c r="DI57" s="1">
        <v>0</v>
      </c>
      <c r="DJ57" s="1">
        <v>0</v>
      </c>
      <c r="DK57" s="1">
        <v>0</v>
      </c>
      <c r="DL57" s="1">
        <v>0</v>
      </c>
      <c r="DM57" s="1">
        <v>0</v>
      </c>
      <c r="DN57" s="1">
        <v>0</v>
      </c>
      <c r="DO57" s="1">
        <v>0</v>
      </c>
      <c r="DP57" s="1">
        <v>0</v>
      </c>
      <c r="DQ57" s="1">
        <v>0</v>
      </c>
      <c r="DR57" s="1">
        <v>0</v>
      </c>
      <c r="DS57" s="1">
        <v>0</v>
      </c>
      <c r="DT57" s="1">
        <v>0</v>
      </c>
      <c r="DU57" s="1">
        <v>0</v>
      </c>
      <c r="DV57" s="1">
        <v>0</v>
      </c>
      <c r="DW57" s="1">
        <v>0</v>
      </c>
      <c r="DX57" s="1">
        <v>0</v>
      </c>
      <c r="DY57" s="1">
        <v>0</v>
      </c>
      <c r="DZ57" s="1">
        <v>0</v>
      </c>
      <c r="EA57" s="1">
        <v>0</v>
      </c>
      <c r="EB57" s="1">
        <v>0</v>
      </c>
      <c r="EC57" s="1">
        <v>0</v>
      </c>
      <c r="ED57" s="1">
        <v>0</v>
      </c>
      <c r="EE57" s="1">
        <v>0</v>
      </c>
      <c r="EF57" s="1">
        <v>0</v>
      </c>
      <c r="EG57" s="1">
        <v>1</v>
      </c>
      <c r="EH57" s="1">
        <v>0</v>
      </c>
      <c r="EI57" s="1">
        <v>0</v>
      </c>
      <c r="EJ57" s="1">
        <v>0</v>
      </c>
      <c r="EK57" s="1">
        <v>0</v>
      </c>
      <c r="EL57" s="1">
        <v>0</v>
      </c>
      <c r="EM57" s="1">
        <v>0</v>
      </c>
      <c r="EN57" s="1">
        <v>0</v>
      </c>
      <c r="EO57" s="1">
        <v>0</v>
      </c>
      <c r="EP57" s="1">
        <v>0</v>
      </c>
      <c r="EQ57" s="1">
        <v>0</v>
      </c>
      <c r="ER57" s="1">
        <v>0</v>
      </c>
      <c r="ES57" s="1">
        <v>0</v>
      </c>
      <c r="ET57" s="1">
        <v>0</v>
      </c>
      <c r="EU57" s="1">
        <v>0</v>
      </c>
      <c r="EV57" s="1">
        <v>0</v>
      </c>
      <c r="EW57" s="1">
        <v>0</v>
      </c>
      <c r="EX57" s="1">
        <v>0</v>
      </c>
      <c r="EY57" s="1">
        <v>0</v>
      </c>
      <c r="EZ57" s="1">
        <v>0</v>
      </c>
      <c r="FA57" s="1">
        <v>0</v>
      </c>
      <c r="FB57" s="1">
        <v>0</v>
      </c>
      <c r="FC57" s="1">
        <v>0</v>
      </c>
      <c r="FD57" s="1">
        <v>0</v>
      </c>
      <c r="FE57" s="1">
        <f t="shared" si="0"/>
        <v>0</v>
      </c>
    </row>
    <row r="58" spans="5:161" ht="15.75" thickBot="1" x14ac:dyDescent="0.3">
      <c r="E58" s="1" t="s">
        <v>71</v>
      </c>
      <c r="F58" s="1">
        <v>8</v>
      </c>
      <c r="H58" s="1" t="s">
        <v>142</v>
      </c>
      <c r="I58" s="2">
        <v>33.616870899999903</v>
      </c>
      <c r="J58" s="2">
        <v>-7.1230360422331502</v>
      </c>
      <c r="K58" s="1">
        <f t="shared" si="3"/>
        <v>5.1943244125992729</v>
      </c>
      <c r="L58" s="1">
        <f t="shared" si="28"/>
        <v>4.5007494143495892</v>
      </c>
      <c r="M58" s="1">
        <f t="shared" si="28"/>
        <v>3.9721333886171206</v>
      </c>
      <c r="N58" s="1">
        <f t="shared" si="28"/>
        <v>5.0112971912262605</v>
      </c>
      <c r="O58" s="1">
        <f t="shared" si="28"/>
        <v>4.9693511836442665</v>
      </c>
      <c r="P58" s="1">
        <f t="shared" si="28"/>
        <v>3.81950688371463</v>
      </c>
      <c r="Q58" s="1">
        <f t="shared" si="28"/>
        <v>4.5856692014862555</v>
      </c>
      <c r="R58" s="1">
        <f t="shared" si="28"/>
        <v>2.1712745299614546</v>
      </c>
      <c r="S58" s="1">
        <f t="shared" si="28"/>
        <v>2.6387366980287061</v>
      </c>
      <c r="T58" s="1">
        <f t="shared" si="28"/>
        <v>3.3796115767976915</v>
      </c>
      <c r="U58" s="1">
        <f t="shared" si="28"/>
        <v>1.5880911020415014</v>
      </c>
      <c r="V58" s="1">
        <f t="shared" si="28"/>
        <v>3.3757684407063198</v>
      </c>
      <c r="W58" s="1">
        <f t="shared" si="28"/>
        <v>5.1451141290349778</v>
      </c>
      <c r="X58" s="1">
        <f t="shared" si="28"/>
        <v>2.5037925643615706</v>
      </c>
      <c r="Y58" s="1">
        <f t="shared" si="28"/>
        <v>1.9662780495259786</v>
      </c>
      <c r="Z58" s="1">
        <f t="shared" si="28"/>
        <v>3.1747580340069188</v>
      </c>
      <c r="AA58" s="1">
        <f t="shared" si="28"/>
        <v>2.7050071421409001</v>
      </c>
      <c r="AB58" s="1">
        <f t="shared" si="28"/>
        <v>2.5605524227960985</v>
      </c>
      <c r="AC58" s="1">
        <f t="shared" si="28"/>
        <v>2.6316056434078314</v>
      </c>
      <c r="AD58" s="1">
        <f t="shared" si="28"/>
        <v>3.5312848625326354</v>
      </c>
      <c r="AE58" s="1">
        <f t="shared" si="28"/>
        <v>2.1478667340845807</v>
      </c>
      <c r="AF58" s="1">
        <f t="shared" si="28"/>
        <v>1.6156269172137261</v>
      </c>
      <c r="AG58" s="1">
        <f t="shared" si="28"/>
        <v>1.6322317901130903</v>
      </c>
      <c r="AH58" s="1">
        <f t="shared" si="28"/>
        <v>2.0176037285699673</v>
      </c>
      <c r="AI58" s="1">
        <f t="shared" si="28"/>
        <v>1.999761646271448</v>
      </c>
      <c r="AJ58" s="1">
        <f t="shared" si="28"/>
        <v>2.2991306091079164</v>
      </c>
      <c r="AK58" s="1">
        <f t="shared" si="28"/>
        <v>2.4068034117525157</v>
      </c>
      <c r="AL58" s="1">
        <f t="shared" si="28"/>
        <v>2.6523073125453305</v>
      </c>
      <c r="AM58" s="1">
        <f t="shared" si="28"/>
        <v>3.1727690251379448</v>
      </c>
      <c r="AN58" s="1">
        <f t="shared" si="28"/>
        <v>5.4819791725367359</v>
      </c>
      <c r="AO58" s="1">
        <f t="shared" si="28"/>
        <v>6.4954564673305146</v>
      </c>
      <c r="AP58" s="1">
        <f t="shared" si="28"/>
        <v>6.5292382073130701</v>
      </c>
      <c r="AQ58" s="1">
        <f t="shared" si="28"/>
        <v>5.2203453527482813</v>
      </c>
      <c r="AR58" s="1">
        <f t="shared" si="28"/>
        <v>2.5317817746914386</v>
      </c>
      <c r="AS58" s="1">
        <f t="shared" si="28"/>
        <v>2.7403883298327893</v>
      </c>
      <c r="AT58" s="1">
        <f t="shared" si="28"/>
        <v>2.6217461731370757</v>
      </c>
      <c r="AU58" s="1">
        <f t="shared" si="28"/>
        <v>2.5984737479506643</v>
      </c>
      <c r="AV58" s="1">
        <f t="shared" si="28"/>
        <v>1.8526642137125779</v>
      </c>
      <c r="AW58" s="1">
        <f t="shared" si="28"/>
        <v>3.5840573356025098</v>
      </c>
      <c r="AX58" s="1">
        <f t="shared" si="28"/>
        <v>2.4127948994000663</v>
      </c>
      <c r="AY58" s="1">
        <f t="shared" si="28"/>
        <v>1.9436420499372495</v>
      </c>
      <c r="AZ58" s="1">
        <f t="shared" si="28"/>
        <v>4.0461377254876734</v>
      </c>
      <c r="BA58" s="1">
        <f t="shared" si="28"/>
        <v>4.0622415979224789</v>
      </c>
      <c r="BB58" s="1">
        <f t="shared" si="28"/>
        <v>4.2319506395501643</v>
      </c>
      <c r="BC58" s="1">
        <f t="shared" si="28"/>
        <v>3.5960710150810598</v>
      </c>
      <c r="BD58" s="1">
        <f t="shared" si="28"/>
        <v>4.7069738832205408</v>
      </c>
      <c r="BE58" s="1">
        <f t="shared" si="28"/>
        <v>3.9619800712412356</v>
      </c>
      <c r="BF58" s="1">
        <f t="shared" si="28"/>
        <v>0.49749494145257173</v>
      </c>
      <c r="BG58" s="1">
        <f t="shared" si="28"/>
        <v>0.27775510100845191</v>
      </c>
      <c r="BH58" s="1">
        <f t="shared" si="28"/>
        <v>1.4296934668438652</v>
      </c>
      <c r="BI58" s="1">
        <f t="shared" si="28"/>
        <v>0.54977860121487454</v>
      </c>
      <c r="BJ58" s="1">
        <f t="shared" si="28"/>
        <v>0.42770883788998426</v>
      </c>
      <c r="BK58" s="5">
        <v>9999999</v>
      </c>
      <c r="BL58" s="1">
        <f t="shared" si="28"/>
        <v>0.57602365181386006</v>
      </c>
      <c r="BM58" s="1">
        <f t="shared" si="28"/>
        <v>0.79020198327808144</v>
      </c>
      <c r="BN58" s="1">
        <f t="shared" si="28"/>
        <v>1.6206120628110676</v>
      </c>
      <c r="BO58" s="1">
        <f t="shared" si="28"/>
        <v>13.005398693319778</v>
      </c>
      <c r="BP58" s="1">
        <f t="shared" si="28"/>
        <v>13.670742177161644</v>
      </c>
      <c r="BQ58" s="1">
        <f t="shared" si="28"/>
        <v>1.4958951465804546</v>
      </c>
      <c r="BR58" s="1">
        <f t="shared" si="28"/>
        <v>1.878285389381638</v>
      </c>
      <c r="BS58" s="1">
        <f t="shared" si="28"/>
        <v>1.1391383301883813</v>
      </c>
      <c r="BT58" s="1">
        <f t="shared" si="28"/>
        <v>1.605062556123638</v>
      </c>
      <c r="BU58" s="1">
        <f t="shared" si="28"/>
        <v>0.76197197741058242</v>
      </c>
      <c r="BV58" s="1">
        <f t="shared" si="28"/>
        <v>0.49794619309846783</v>
      </c>
      <c r="BW58" s="1">
        <f t="shared" si="28"/>
        <v>0.52791312011578673</v>
      </c>
      <c r="BX58" s="1">
        <f t="shared" si="27"/>
        <v>0.27680772906323836</v>
      </c>
      <c r="BY58" s="1">
        <f t="shared" si="27"/>
        <v>0.8515727159371459</v>
      </c>
      <c r="BZ58" s="1">
        <f t="shared" si="27"/>
        <v>1.0718916951941893</v>
      </c>
      <c r="CA58" s="1">
        <f t="shared" si="27"/>
        <v>1.5375827386603083</v>
      </c>
      <c r="CB58" s="1">
        <f t="shared" si="27"/>
        <v>1.3577021819025346</v>
      </c>
      <c r="CC58" s="1">
        <f t="shared" si="27"/>
        <v>8.8676710947523141</v>
      </c>
      <c r="CD58" s="1">
        <f t="shared" si="27"/>
        <v>10.501751207585489</v>
      </c>
      <c r="CE58" s="1">
        <f t="shared" si="27"/>
        <v>8.1171550077963897</v>
      </c>
      <c r="CF58" s="1">
        <f t="shared" si="27"/>
        <v>8.2441636694388993</v>
      </c>
      <c r="CH58" s="1" t="s">
        <v>70</v>
      </c>
      <c r="CI58" s="1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T58" s="1">
        <v>0</v>
      </c>
      <c r="CU58" s="1">
        <v>0</v>
      </c>
      <c r="CV58" s="1">
        <v>0</v>
      </c>
      <c r="CW58" s="1">
        <v>0</v>
      </c>
      <c r="CX58" s="1">
        <v>0</v>
      </c>
      <c r="CY58" s="1">
        <v>0</v>
      </c>
      <c r="CZ58" s="1">
        <v>0</v>
      </c>
      <c r="DA58" s="1">
        <v>0</v>
      </c>
      <c r="DB58" s="1">
        <v>0</v>
      </c>
      <c r="DC58" s="1">
        <v>0</v>
      </c>
      <c r="DD58" s="1">
        <v>0</v>
      </c>
      <c r="DE58" s="1">
        <v>0</v>
      </c>
      <c r="DF58" s="1">
        <v>0</v>
      </c>
      <c r="DG58" s="1">
        <v>0</v>
      </c>
      <c r="DH58" s="1">
        <v>0</v>
      </c>
      <c r="DI58" s="1">
        <v>0</v>
      </c>
      <c r="DJ58" s="1">
        <v>0</v>
      </c>
      <c r="DK58" s="1">
        <v>0</v>
      </c>
      <c r="DL58" s="1">
        <v>0</v>
      </c>
      <c r="DM58" s="1">
        <v>0</v>
      </c>
      <c r="DN58" s="1">
        <v>0</v>
      </c>
      <c r="DO58" s="1">
        <v>0</v>
      </c>
      <c r="DP58" s="1">
        <v>0</v>
      </c>
      <c r="DQ58" s="1">
        <v>0</v>
      </c>
      <c r="DR58" s="1">
        <v>0</v>
      </c>
      <c r="DS58" s="1">
        <v>0</v>
      </c>
      <c r="DT58" s="1">
        <v>0</v>
      </c>
      <c r="DU58" s="1">
        <v>0</v>
      </c>
      <c r="DV58" s="1">
        <v>0</v>
      </c>
      <c r="DW58" s="1">
        <v>0</v>
      </c>
      <c r="DX58" s="1">
        <v>0</v>
      </c>
      <c r="DY58" s="1">
        <v>0</v>
      </c>
      <c r="DZ58" s="1">
        <v>0</v>
      </c>
      <c r="EA58" s="1">
        <v>0</v>
      </c>
      <c r="EB58" s="1">
        <v>0</v>
      </c>
      <c r="EC58" s="1">
        <v>0</v>
      </c>
      <c r="ED58" s="1">
        <v>0</v>
      </c>
      <c r="EE58" s="1">
        <v>0</v>
      </c>
      <c r="EF58" s="1">
        <v>1</v>
      </c>
      <c r="EG58" s="1">
        <v>0</v>
      </c>
      <c r="EH58" s="1">
        <v>0</v>
      </c>
      <c r="EI58" s="1">
        <v>0</v>
      </c>
      <c r="EJ58" s="1">
        <v>0</v>
      </c>
      <c r="EK58" s="1">
        <v>0</v>
      </c>
      <c r="EL58" s="1">
        <v>0</v>
      </c>
      <c r="EM58" s="1">
        <v>0</v>
      </c>
      <c r="EN58" s="1">
        <v>0</v>
      </c>
      <c r="EO58" s="1">
        <v>0</v>
      </c>
      <c r="EP58" s="1">
        <v>0</v>
      </c>
      <c r="EQ58" s="1">
        <v>0</v>
      </c>
      <c r="ER58" s="1">
        <v>0</v>
      </c>
      <c r="ES58" s="1">
        <v>0</v>
      </c>
      <c r="ET58" s="1">
        <v>0</v>
      </c>
      <c r="EU58" s="1">
        <v>0</v>
      </c>
      <c r="EV58" s="1">
        <v>0</v>
      </c>
      <c r="EW58" s="1">
        <v>0</v>
      </c>
      <c r="EX58" s="1">
        <v>0</v>
      </c>
      <c r="EY58" s="1">
        <v>0</v>
      </c>
      <c r="EZ58" s="1">
        <v>0</v>
      </c>
      <c r="FA58" s="1">
        <v>0</v>
      </c>
      <c r="FB58" s="1">
        <v>0</v>
      </c>
      <c r="FC58" s="1">
        <v>0</v>
      </c>
      <c r="FD58" s="1">
        <v>0</v>
      </c>
      <c r="FE58" s="1">
        <f t="shared" si="0"/>
        <v>0</v>
      </c>
    </row>
    <row r="59" spans="5:161" ht="15.75" thickBot="1" x14ac:dyDescent="0.3">
      <c r="E59" s="1" t="s">
        <v>72</v>
      </c>
      <c r="F59" s="1">
        <v>10</v>
      </c>
      <c r="H59" s="1" t="s">
        <v>143</v>
      </c>
      <c r="I59" s="2">
        <v>33.267674599999999</v>
      </c>
      <c r="J59" s="2">
        <v>-7.5811465</v>
      </c>
      <c r="K59" s="1">
        <f t="shared" si="3"/>
        <v>5.7190701549801091</v>
      </c>
      <c r="L59" s="1">
        <f t="shared" si="28"/>
        <v>5.0553758443120653</v>
      </c>
      <c r="M59" s="1">
        <f t="shared" si="28"/>
        <v>4.5253589910259508</v>
      </c>
      <c r="N59" s="1">
        <f t="shared" si="28"/>
        <v>5.5205621574326296</v>
      </c>
      <c r="O59" s="1">
        <f t="shared" si="28"/>
        <v>5.5075433639826805</v>
      </c>
      <c r="P59" s="1">
        <f t="shared" si="28"/>
        <v>4.3359355643879436</v>
      </c>
      <c r="Q59" s="1">
        <f t="shared" si="28"/>
        <v>4.9841431708316346</v>
      </c>
      <c r="R59" s="1">
        <f t="shared" si="28"/>
        <v>1.6917870668129893</v>
      </c>
      <c r="S59" s="1">
        <f t="shared" si="28"/>
        <v>2.0855885787623065</v>
      </c>
      <c r="T59" s="1">
        <f t="shared" si="28"/>
        <v>2.8037364969657355</v>
      </c>
      <c r="U59" s="1">
        <f t="shared" si="28"/>
        <v>1.225812289761939</v>
      </c>
      <c r="V59" s="1">
        <f t="shared" si="28"/>
        <v>2.7999129969198497</v>
      </c>
      <c r="W59" s="1">
        <f t="shared" si="28"/>
        <v>5.6811148251275343</v>
      </c>
      <c r="X59" s="1">
        <f t="shared" si="28"/>
        <v>1.9302191463090104</v>
      </c>
      <c r="Y59" s="1">
        <f t="shared" si="28"/>
        <v>1.3961314676394945</v>
      </c>
      <c r="Z59" s="1">
        <f t="shared" si="28"/>
        <v>3.4199173320501473</v>
      </c>
      <c r="AA59" s="1">
        <f t="shared" si="28"/>
        <v>2.4412843755471831</v>
      </c>
      <c r="AB59" s="1">
        <f t="shared" si="28"/>
        <v>2.9013190846530499</v>
      </c>
      <c r="AC59" s="1">
        <f t="shared" si="28"/>
        <v>2.6929811941889623</v>
      </c>
      <c r="AD59" s="1">
        <f t="shared" si="28"/>
        <v>3.4180466845765007</v>
      </c>
      <c r="AE59" s="1">
        <f t="shared" si="28"/>
        <v>2.6771710794744994</v>
      </c>
      <c r="AF59" s="1">
        <f t="shared" si="28"/>
        <v>2.1438318622293497</v>
      </c>
      <c r="AG59" s="1">
        <f t="shared" si="28"/>
        <v>2.1323158118658214</v>
      </c>
      <c r="AH59" s="1">
        <f t="shared" si="28"/>
        <v>2.4873572279080478</v>
      </c>
      <c r="AI59" s="1">
        <f t="shared" si="28"/>
        <v>2.537770546742911</v>
      </c>
      <c r="AJ59" s="1">
        <f t="shared" si="28"/>
        <v>2.8037404411638764</v>
      </c>
      <c r="AK59" s="1">
        <f t="shared" si="28"/>
        <v>2.8531910522556747</v>
      </c>
      <c r="AL59" s="1">
        <f t="shared" si="28"/>
        <v>3.2076252035576442</v>
      </c>
      <c r="AM59" s="1">
        <f t="shared" si="28"/>
        <v>3.6984744229466315</v>
      </c>
      <c r="AN59" s="1">
        <f t="shared" si="28"/>
        <v>4.9458512065207039</v>
      </c>
      <c r="AO59" s="1">
        <f t="shared" si="28"/>
        <v>6.0353376141232671</v>
      </c>
      <c r="AP59" s="1">
        <f t="shared" si="28"/>
        <v>5.9751990789924978</v>
      </c>
      <c r="AQ59" s="1">
        <f t="shared" si="28"/>
        <v>4.6723735229719585</v>
      </c>
      <c r="AR59" s="1">
        <f t="shared" si="28"/>
        <v>3.0756912440236288</v>
      </c>
      <c r="AS59" s="1">
        <f t="shared" si="28"/>
        <v>3.3066273870430569</v>
      </c>
      <c r="AT59" s="1">
        <f t="shared" si="28"/>
        <v>3.1893225665942553</v>
      </c>
      <c r="AU59" s="1">
        <f t="shared" si="28"/>
        <v>3.1508074187271626</v>
      </c>
      <c r="AV59" s="1">
        <f t="shared" si="28"/>
        <v>2.3990271276911095</v>
      </c>
      <c r="AW59" s="1">
        <f t="shared" si="28"/>
        <v>4.152081303783997</v>
      </c>
      <c r="AX59" s="1">
        <f t="shared" si="28"/>
        <v>2.9882811712805384</v>
      </c>
      <c r="AY59" s="1">
        <f t="shared" si="28"/>
        <v>2.5196654593520962</v>
      </c>
      <c r="AZ59" s="1">
        <f t="shared" si="28"/>
        <v>3.4924949269918852</v>
      </c>
      <c r="BA59" s="1">
        <f t="shared" si="28"/>
        <v>3.5123405407155679</v>
      </c>
      <c r="BB59" s="1">
        <f t="shared" si="28"/>
        <v>3.7007598215096662</v>
      </c>
      <c r="BC59" s="1">
        <f t="shared" si="28"/>
        <v>3.0772302448420468</v>
      </c>
      <c r="BD59" s="1">
        <f t="shared" si="28"/>
        <v>4.1666776577490801</v>
      </c>
      <c r="BE59" s="1">
        <f t="shared" si="28"/>
        <v>3.542644666485296</v>
      </c>
      <c r="BF59" s="1">
        <f t="shared" si="28"/>
        <v>0.32914443184056941</v>
      </c>
      <c r="BG59" s="1">
        <f t="shared" si="28"/>
        <v>0.46916738012886106</v>
      </c>
      <c r="BH59" s="1">
        <f t="shared" si="28"/>
        <v>0.9199060788139376</v>
      </c>
      <c r="BI59" s="1">
        <f t="shared" si="28"/>
        <v>0.11799778637080813</v>
      </c>
      <c r="BJ59" s="1">
        <f t="shared" si="28"/>
        <v>0.19841560114872728</v>
      </c>
      <c r="BK59" s="1">
        <f t="shared" si="28"/>
        <v>0.57602365181386006</v>
      </c>
      <c r="BL59" s="5">
        <v>9999999</v>
      </c>
      <c r="BM59" s="1">
        <f t="shared" si="28"/>
        <v>0.26808857152442855</v>
      </c>
      <c r="BN59" s="1">
        <f t="shared" si="28"/>
        <v>1.0446596611384951</v>
      </c>
      <c r="BO59" s="1">
        <f t="shared" si="28"/>
        <v>12.450702451349468</v>
      </c>
      <c r="BP59" s="1">
        <f t="shared" si="28"/>
        <v>13.132009466477138</v>
      </c>
      <c r="BQ59" s="1">
        <f t="shared" si="28"/>
        <v>1.5423712189582668</v>
      </c>
      <c r="BR59" s="1">
        <f t="shared" si="28"/>
        <v>1.8090964838112145</v>
      </c>
      <c r="BS59" s="1">
        <f t="shared" si="28"/>
        <v>1.0499096631198421</v>
      </c>
      <c r="BT59" s="1">
        <f t="shared" si="28"/>
        <v>1.9400971132814593</v>
      </c>
      <c r="BU59" s="1">
        <f t="shared" si="28"/>
        <v>0.7729892253633347</v>
      </c>
      <c r="BV59" s="1">
        <f t="shared" si="28"/>
        <v>1.0619532817519093</v>
      </c>
      <c r="BW59" s="1">
        <f t="shared" ref="BW59:CF62" si="29">SQRT(POWER($I59-BW$4,2)+POWER(BW$5-$J59,2))</f>
        <v>1.0920393277431026</v>
      </c>
      <c r="BX59" s="1">
        <f t="shared" si="29"/>
        <v>0.85049713962926787</v>
      </c>
      <c r="BY59" s="1">
        <f t="shared" si="29"/>
        <v>1.4198154612650933</v>
      </c>
      <c r="BZ59" s="1">
        <f t="shared" si="29"/>
        <v>1.6100404249136133</v>
      </c>
      <c r="CA59" s="1">
        <f t="shared" si="29"/>
        <v>2.101190670742429</v>
      </c>
      <c r="CB59" s="1">
        <f t="shared" si="29"/>
        <v>1.9286864173094109</v>
      </c>
      <c r="CC59" s="1">
        <f t="shared" si="29"/>
        <v>8.3000307608561368</v>
      </c>
      <c r="CD59" s="1">
        <f t="shared" si="29"/>
        <v>9.9319331923390433</v>
      </c>
      <c r="CE59" s="1">
        <f t="shared" si="29"/>
        <v>7.5458288772392139</v>
      </c>
      <c r="CF59" s="1">
        <f t="shared" si="29"/>
        <v>7.7025488396989363</v>
      </c>
      <c r="CH59" s="1" t="s">
        <v>71</v>
      </c>
      <c r="CI59" s="1">
        <v>0</v>
      </c>
      <c r="CJ59" s="1">
        <v>0</v>
      </c>
      <c r="CK59" s="1">
        <v>0</v>
      </c>
      <c r="CL59" s="1">
        <v>0</v>
      </c>
      <c r="CM59" s="1">
        <v>0</v>
      </c>
      <c r="CN59" s="1">
        <v>0</v>
      </c>
      <c r="CO59" s="1">
        <v>0</v>
      </c>
      <c r="CP59" s="1">
        <v>0</v>
      </c>
      <c r="CQ59" s="1">
        <v>0</v>
      </c>
      <c r="CR59" s="1">
        <v>0</v>
      </c>
      <c r="CS59" s="1">
        <v>1</v>
      </c>
      <c r="CT59" s="1">
        <v>0</v>
      </c>
      <c r="CU59" s="1">
        <v>0</v>
      </c>
      <c r="CV59" s="1">
        <v>0</v>
      </c>
      <c r="CW59" s="1">
        <v>0</v>
      </c>
      <c r="CX59" s="1">
        <v>0</v>
      </c>
      <c r="CY59" s="1">
        <v>0</v>
      </c>
      <c r="CZ59" s="1">
        <v>0</v>
      </c>
      <c r="DA59" s="1">
        <v>0</v>
      </c>
      <c r="DB59" s="1">
        <v>0</v>
      </c>
      <c r="DC59" s="1">
        <v>0</v>
      </c>
      <c r="DD59" s="1">
        <v>0</v>
      </c>
      <c r="DE59" s="1">
        <v>0</v>
      </c>
      <c r="DF59" s="1">
        <v>0</v>
      </c>
      <c r="DG59" s="1">
        <v>0</v>
      </c>
      <c r="DH59" s="1">
        <v>0</v>
      </c>
      <c r="DI59" s="1">
        <v>0</v>
      </c>
      <c r="DJ59" s="1">
        <v>0</v>
      </c>
      <c r="DK59" s="1">
        <v>0</v>
      </c>
      <c r="DL59" s="1">
        <v>0</v>
      </c>
      <c r="DM59" s="1">
        <v>0</v>
      </c>
      <c r="DN59" s="1">
        <v>0</v>
      </c>
      <c r="DO59" s="1">
        <v>0</v>
      </c>
      <c r="DP59" s="1">
        <v>0</v>
      </c>
      <c r="DQ59" s="1">
        <v>0</v>
      </c>
      <c r="DR59" s="1">
        <v>0</v>
      </c>
      <c r="DS59" s="1">
        <v>0</v>
      </c>
      <c r="DT59" s="1">
        <v>0</v>
      </c>
      <c r="DU59" s="1">
        <v>0</v>
      </c>
      <c r="DV59" s="1">
        <v>0</v>
      </c>
      <c r="DW59" s="1">
        <v>0</v>
      </c>
      <c r="DX59" s="1">
        <v>0</v>
      </c>
      <c r="DY59" s="1">
        <v>0</v>
      </c>
      <c r="DZ59" s="1">
        <v>0</v>
      </c>
      <c r="EA59" s="1">
        <v>0</v>
      </c>
      <c r="EB59" s="1">
        <v>0</v>
      </c>
      <c r="EC59" s="1">
        <v>0</v>
      </c>
      <c r="ED59" s="1">
        <v>0</v>
      </c>
      <c r="EE59" s="1">
        <v>0</v>
      </c>
      <c r="EF59" s="1">
        <v>0</v>
      </c>
      <c r="EG59" s="1">
        <v>0</v>
      </c>
      <c r="EH59" s="1">
        <v>0</v>
      </c>
      <c r="EI59" s="1">
        <v>0</v>
      </c>
      <c r="EJ59" s="1">
        <v>0</v>
      </c>
      <c r="EK59" s="1">
        <v>0</v>
      </c>
      <c r="EL59" s="1">
        <v>0</v>
      </c>
      <c r="EM59" s="1">
        <v>0</v>
      </c>
      <c r="EN59" s="1">
        <v>0</v>
      </c>
      <c r="EO59" s="1">
        <v>0</v>
      </c>
      <c r="EP59" s="1">
        <v>0</v>
      </c>
      <c r="EQ59" s="1">
        <v>0</v>
      </c>
      <c r="ER59" s="1">
        <v>0</v>
      </c>
      <c r="ES59" s="1">
        <v>0</v>
      </c>
      <c r="ET59" s="1">
        <v>0</v>
      </c>
      <c r="EU59" s="1">
        <v>0</v>
      </c>
      <c r="EV59" s="1">
        <v>0</v>
      </c>
      <c r="EW59" s="1">
        <v>0</v>
      </c>
      <c r="EX59" s="1">
        <v>0</v>
      </c>
      <c r="EY59" s="1">
        <v>0</v>
      </c>
      <c r="EZ59" s="1">
        <v>0</v>
      </c>
      <c r="FA59" s="1">
        <v>0</v>
      </c>
      <c r="FB59" s="1">
        <v>0</v>
      </c>
      <c r="FC59" s="1">
        <v>0</v>
      </c>
      <c r="FD59" s="1">
        <v>0</v>
      </c>
      <c r="FE59" s="1">
        <f t="shared" si="0"/>
        <v>0</v>
      </c>
    </row>
    <row r="60" spans="5:161" ht="15.75" thickBot="1" x14ac:dyDescent="0.3">
      <c r="E60" s="1" t="s">
        <v>73</v>
      </c>
      <c r="F60" s="1">
        <v>5</v>
      </c>
      <c r="H60" s="1" t="s">
        <v>144</v>
      </c>
      <c r="I60" s="2">
        <v>33.002397000000002</v>
      </c>
      <c r="J60" s="2">
        <v>-7.6198670000000002</v>
      </c>
      <c r="K60" s="1">
        <f t="shared" si="3"/>
        <v>5.8268483233310056</v>
      </c>
      <c r="L60" s="1">
        <f t="shared" ref="L60:BW63" si="30">SQRT(POWER($I60-L$4,2)+POWER(L$5-$J60,2))</f>
        <v>5.1979957349452937</v>
      </c>
      <c r="M60" s="1">
        <f t="shared" si="30"/>
        <v>4.667129082625955</v>
      </c>
      <c r="N60" s="1">
        <f t="shared" si="30"/>
        <v>5.6144092774307071</v>
      </c>
      <c r="O60" s="1">
        <f t="shared" si="30"/>
        <v>5.6295467641366246</v>
      </c>
      <c r="P60" s="1">
        <f t="shared" si="30"/>
        <v>4.4393592878392916</v>
      </c>
      <c r="Q60" s="1">
        <f t="shared" si="30"/>
        <v>4.9999011008390442</v>
      </c>
      <c r="R60" s="1">
        <f t="shared" si="30"/>
        <v>1.4252461032053849</v>
      </c>
      <c r="S60" s="1">
        <f t="shared" si="30"/>
        <v>1.8486023341033453</v>
      </c>
      <c r="T60" s="1">
        <f t="shared" si="30"/>
        <v>2.6139006231150663</v>
      </c>
      <c r="U60" s="1">
        <f t="shared" si="30"/>
        <v>0.97172302120408949</v>
      </c>
      <c r="V60" s="1">
        <f t="shared" si="30"/>
        <v>2.6097732301313292</v>
      </c>
      <c r="W60" s="1">
        <f t="shared" si="30"/>
        <v>5.8004478559160733</v>
      </c>
      <c r="X60" s="1">
        <f t="shared" si="30"/>
        <v>1.7714267171911997</v>
      </c>
      <c r="Y60" s="1">
        <f t="shared" si="30"/>
        <v>1.1854219343339327</v>
      </c>
      <c r="Z60" s="1">
        <f t="shared" si="30"/>
        <v>3.3617293781819639</v>
      </c>
      <c r="AA60" s="1">
        <f t="shared" si="30"/>
        <v>2.1995852092501447</v>
      </c>
      <c r="AB60" s="1">
        <f t="shared" si="30"/>
        <v>2.8979205308979754</v>
      </c>
      <c r="AC60" s="1">
        <f t="shared" si="30"/>
        <v>2.5605155107317761</v>
      </c>
      <c r="AD60" s="1">
        <f t="shared" si="30"/>
        <v>3.2140832641716073</v>
      </c>
      <c r="AE60" s="1">
        <f t="shared" si="30"/>
        <v>2.8008344571852732</v>
      </c>
      <c r="AF60" s="1">
        <f t="shared" si="30"/>
        <v>2.2717678090985114</v>
      </c>
      <c r="AG60" s="1">
        <f t="shared" si="30"/>
        <v>2.2380954781597189</v>
      </c>
      <c r="AH60" s="1">
        <f t="shared" si="30"/>
        <v>2.5667671631733562</v>
      </c>
      <c r="AI60" s="1">
        <f t="shared" si="30"/>
        <v>2.6707840462427885</v>
      </c>
      <c r="AJ60" s="1">
        <f t="shared" si="30"/>
        <v>2.9053851567325792</v>
      </c>
      <c r="AK60" s="1">
        <f t="shared" si="30"/>
        <v>2.9127987936332707</v>
      </c>
      <c r="AL60" s="1">
        <f t="shared" si="30"/>
        <v>3.3560448111385526</v>
      </c>
      <c r="AM60" s="1">
        <f t="shared" si="30"/>
        <v>3.8128439022248215</v>
      </c>
      <c r="AN60" s="1">
        <f t="shared" si="30"/>
        <v>4.6978813330986613</v>
      </c>
      <c r="AO60" s="1">
        <f t="shared" si="30"/>
        <v>5.768674366853312</v>
      </c>
      <c r="AP60" s="1">
        <f t="shared" si="30"/>
        <v>5.7393230708459866</v>
      </c>
      <c r="AQ60" s="1">
        <f t="shared" si="30"/>
        <v>4.4316194905604602</v>
      </c>
      <c r="AR60" s="1">
        <f t="shared" si="30"/>
        <v>3.3167751847539519</v>
      </c>
      <c r="AS60" s="1">
        <f t="shared" si="30"/>
        <v>3.530179441820859</v>
      </c>
      <c r="AT60" s="1">
        <f t="shared" si="30"/>
        <v>3.4111809700859239</v>
      </c>
      <c r="AU60" s="1">
        <f t="shared" si="30"/>
        <v>3.3868247733923562</v>
      </c>
      <c r="AV60" s="1">
        <f t="shared" si="30"/>
        <v>2.6382726252816395</v>
      </c>
      <c r="AW60" s="1">
        <f t="shared" si="30"/>
        <v>4.3178148899472282</v>
      </c>
      <c r="AX60" s="1">
        <f t="shared" si="30"/>
        <v>3.1920981324180482</v>
      </c>
      <c r="AY60" s="1">
        <f t="shared" si="30"/>
        <v>2.7178917597056715</v>
      </c>
      <c r="AZ60" s="1">
        <f t="shared" si="30"/>
        <v>3.2561268788652411</v>
      </c>
      <c r="BA60" s="1">
        <f t="shared" si="30"/>
        <v>3.2728586423828503</v>
      </c>
      <c r="BB60" s="1">
        <f t="shared" si="30"/>
        <v>3.4499840411861586</v>
      </c>
      <c r="BC60" s="1">
        <f t="shared" si="30"/>
        <v>2.8210557530515641</v>
      </c>
      <c r="BD60" s="1">
        <f t="shared" si="30"/>
        <v>3.9208401174160712</v>
      </c>
      <c r="BE60" s="1">
        <f t="shared" si="30"/>
        <v>3.274734385964245</v>
      </c>
      <c r="BF60" s="1">
        <f t="shared" si="30"/>
        <v>0.59211742199729211</v>
      </c>
      <c r="BG60" s="1">
        <f t="shared" si="30"/>
        <v>0.73075886157782932</v>
      </c>
      <c r="BH60" s="1">
        <f t="shared" si="30"/>
        <v>0.91042896360464509</v>
      </c>
      <c r="BI60" s="1">
        <f t="shared" si="30"/>
        <v>0.37706920430207636</v>
      </c>
      <c r="BJ60" s="1">
        <f t="shared" si="30"/>
        <v>0.46483226614016349</v>
      </c>
      <c r="BK60" s="1">
        <f t="shared" si="30"/>
        <v>0.79020198327808144</v>
      </c>
      <c r="BL60" s="1">
        <f t="shared" si="30"/>
        <v>0.26808857152442855</v>
      </c>
      <c r="BM60" s="5">
        <v>9999999</v>
      </c>
      <c r="BN60" s="1">
        <f t="shared" si="30"/>
        <v>0.87783862277512514</v>
      </c>
      <c r="BO60" s="1">
        <f t="shared" si="30"/>
        <v>12.215511701118054</v>
      </c>
      <c r="BP60" s="1">
        <f t="shared" si="30"/>
        <v>12.886049748993653</v>
      </c>
      <c r="BQ60" s="1">
        <f t="shared" si="30"/>
        <v>1.4319915826009604</v>
      </c>
      <c r="BR60" s="1">
        <f t="shared" si="30"/>
        <v>1.6408077014713718</v>
      </c>
      <c r="BS60" s="1">
        <f t="shared" si="30"/>
        <v>0.91015100770734214</v>
      </c>
      <c r="BT60" s="1">
        <f t="shared" si="30"/>
        <v>1.9513543256391446</v>
      </c>
      <c r="BU60" s="1">
        <f t="shared" si="30"/>
        <v>0.72017818209245965</v>
      </c>
      <c r="BV60" s="1">
        <f t="shared" si="30"/>
        <v>1.2875855587323255</v>
      </c>
      <c r="BW60" s="1">
        <f t="shared" si="30"/>
        <v>1.3176432721203382</v>
      </c>
      <c r="BX60" s="1">
        <f t="shared" si="29"/>
        <v>1.0508932845008723</v>
      </c>
      <c r="BY60" s="1">
        <f t="shared" si="29"/>
        <v>1.6416292435056685</v>
      </c>
      <c r="BZ60" s="1">
        <f t="shared" si="29"/>
        <v>1.7548280681434276</v>
      </c>
      <c r="CA60" s="1">
        <f t="shared" si="29"/>
        <v>2.2672294184122621</v>
      </c>
      <c r="CB60" s="1">
        <f t="shared" si="29"/>
        <v>2.1086015788567067</v>
      </c>
      <c r="CC60" s="1">
        <f t="shared" si="29"/>
        <v>8.0798662806976598</v>
      </c>
      <c r="CD60" s="1">
        <f t="shared" si="29"/>
        <v>9.7155420839498987</v>
      </c>
      <c r="CE60" s="1">
        <f t="shared" si="29"/>
        <v>7.3328719131650271</v>
      </c>
      <c r="CF60" s="1">
        <f t="shared" si="29"/>
        <v>7.457961752603592</v>
      </c>
      <c r="CH60" s="1" t="s">
        <v>72</v>
      </c>
      <c r="CI60" s="1">
        <v>0</v>
      </c>
      <c r="CJ60" s="1">
        <v>0</v>
      </c>
      <c r="CK60" s="1">
        <v>0</v>
      </c>
      <c r="CL60" s="1">
        <v>0</v>
      </c>
      <c r="CM60" s="1">
        <v>0</v>
      </c>
      <c r="CN60" s="1">
        <v>0</v>
      </c>
      <c r="CO60" s="1">
        <v>0</v>
      </c>
      <c r="CP60" s="1">
        <v>0</v>
      </c>
      <c r="CQ60" s="1">
        <v>0</v>
      </c>
      <c r="CR60" s="1">
        <v>0</v>
      </c>
      <c r="CS60" s="1">
        <v>0</v>
      </c>
      <c r="CT60" s="1">
        <v>0</v>
      </c>
      <c r="CU60" s="1">
        <v>0</v>
      </c>
      <c r="CV60" s="1">
        <v>0</v>
      </c>
      <c r="CW60" s="1">
        <v>0</v>
      </c>
      <c r="CX60" s="1">
        <v>0</v>
      </c>
      <c r="CY60" s="1">
        <v>0</v>
      </c>
      <c r="CZ60" s="1">
        <v>0</v>
      </c>
      <c r="DA60" s="1">
        <v>0</v>
      </c>
      <c r="DB60" s="1">
        <v>0</v>
      </c>
      <c r="DC60" s="1">
        <v>0</v>
      </c>
      <c r="DD60" s="1">
        <v>0</v>
      </c>
      <c r="DE60" s="1">
        <v>0</v>
      </c>
      <c r="DF60" s="1">
        <v>0</v>
      </c>
      <c r="DG60" s="1">
        <v>0</v>
      </c>
      <c r="DH60" s="1">
        <v>0</v>
      </c>
      <c r="DI60" s="1">
        <v>0</v>
      </c>
      <c r="DJ60" s="1">
        <v>0</v>
      </c>
      <c r="DK60" s="1">
        <v>0</v>
      </c>
      <c r="DL60" s="1">
        <v>0</v>
      </c>
      <c r="DM60" s="1">
        <v>0</v>
      </c>
      <c r="DN60" s="1">
        <v>0</v>
      </c>
      <c r="DO60" s="1">
        <v>0</v>
      </c>
      <c r="DP60" s="1">
        <v>0</v>
      </c>
      <c r="DQ60" s="1">
        <v>0</v>
      </c>
      <c r="DR60" s="1">
        <v>0</v>
      </c>
      <c r="DS60" s="1">
        <v>0</v>
      </c>
      <c r="DT60" s="1">
        <v>0</v>
      </c>
      <c r="DU60" s="1">
        <v>0</v>
      </c>
      <c r="DV60" s="1">
        <v>0</v>
      </c>
      <c r="DW60" s="1">
        <v>0</v>
      </c>
      <c r="DX60" s="1">
        <v>0</v>
      </c>
      <c r="DY60" s="1">
        <v>0</v>
      </c>
      <c r="DZ60" s="1">
        <v>0</v>
      </c>
      <c r="EA60" s="1">
        <v>0</v>
      </c>
      <c r="EB60" s="1">
        <v>0</v>
      </c>
      <c r="EC60" s="1">
        <v>0</v>
      </c>
      <c r="ED60" s="1">
        <v>0</v>
      </c>
      <c r="EE60" s="1">
        <v>0</v>
      </c>
      <c r="EF60" s="1">
        <v>0</v>
      </c>
      <c r="EG60" s="1">
        <v>0</v>
      </c>
      <c r="EH60" s="1">
        <v>0</v>
      </c>
      <c r="EI60" s="1">
        <v>0</v>
      </c>
      <c r="EJ60" s="1">
        <v>0</v>
      </c>
      <c r="EK60" s="1">
        <v>0</v>
      </c>
      <c r="EL60" s="1">
        <v>0</v>
      </c>
      <c r="EM60" s="1">
        <v>0</v>
      </c>
      <c r="EN60" s="1">
        <v>1</v>
      </c>
      <c r="EO60" s="1">
        <v>0</v>
      </c>
      <c r="EP60" s="1">
        <v>0</v>
      </c>
      <c r="EQ60" s="1">
        <v>0</v>
      </c>
      <c r="ER60" s="1">
        <v>0</v>
      </c>
      <c r="ES60" s="1">
        <v>0</v>
      </c>
      <c r="ET60" s="1">
        <v>0</v>
      </c>
      <c r="EU60" s="1">
        <v>0</v>
      </c>
      <c r="EV60" s="1">
        <v>0</v>
      </c>
      <c r="EW60" s="1">
        <v>0</v>
      </c>
      <c r="EX60" s="1">
        <v>0</v>
      </c>
      <c r="EY60" s="1">
        <v>0</v>
      </c>
      <c r="EZ60" s="1">
        <v>0</v>
      </c>
      <c r="FA60" s="1">
        <v>0</v>
      </c>
      <c r="FB60" s="1">
        <v>0</v>
      </c>
      <c r="FC60" s="1">
        <v>0</v>
      </c>
      <c r="FD60" s="1">
        <v>0</v>
      </c>
      <c r="FE60" s="1">
        <f t="shared" si="0"/>
        <v>0</v>
      </c>
    </row>
    <row r="61" spans="5:161" ht="15.75" thickBot="1" x14ac:dyDescent="0.3">
      <c r="E61" s="1" t="s">
        <v>74</v>
      </c>
      <c r="F61" s="1">
        <v>9</v>
      </c>
      <c r="H61" s="1" t="s">
        <v>145</v>
      </c>
      <c r="I61" s="2">
        <v>32.650779200000002</v>
      </c>
      <c r="J61" s="2">
        <v>-8.4242086999999994</v>
      </c>
      <c r="K61" s="1">
        <f t="shared" si="3"/>
        <v>6.6989987344618278</v>
      </c>
      <c r="L61" s="1">
        <f t="shared" si="30"/>
        <v>6.0755828462074133</v>
      </c>
      <c r="M61" s="1">
        <f t="shared" si="30"/>
        <v>5.5447419735412673</v>
      </c>
      <c r="N61" s="1">
        <f t="shared" si="30"/>
        <v>6.4803819155945828</v>
      </c>
      <c r="O61" s="1">
        <f t="shared" si="30"/>
        <v>6.5058658922816477</v>
      </c>
      <c r="P61" s="1">
        <f t="shared" si="30"/>
        <v>5.3107237127031857</v>
      </c>
      <c r="Q61" s="1">
        <f t="shared" si="30"/>
        <v>5.7957048575313497</v>
      </c>
      <c r="R61" s="1">
        <f t="shared" si="30"/>
        <v>1.1134614283650173</v>
      </c>
      <c r="S61" s="1">
        <f t="shared" si="30"/>
        <v>1.153686803906097</v>
      </c>
      <c r="T61" s="1">
        <f t="shared" si="30"/>
        <v>1.7607264550151633</v>
      </c>
      <c r="U61" s="1">
        <f t="shared" si="30"/>
        <v>1.1793869192560729</v>
      </c>
      <c r="V61" s="1">
        <f t="shared" si="30"/>
        <v>1.7570249809862639</v>
      </c>
      <c r="W61" s="1">
        <f t="shared" si="30"/>
        <v>6.6761462838482633</v>
      </c>
      <c r="X61" s="1">
        <f t="shared" si="30"/>
        <v>0.89384479611202405</v>
      </c>
      <c r="Y61" s="1">
        <f t="shared" si="30"/>
        <v>0.41919105466759654</v>
      </c>
      <c r="Z61" s="1">
        <f t="shared" si="30"/>
        <v>4.0548684567023923</v>
      </c>
      <c r="AA61" s="1">
        <f t="shared" si="30"/>
        <v>2.2989045664087344</v>
      </c>
      <c r="AB61" s="1">
        <f t="shared" si="30"/>
        <v>3.6844303436968007</v>
      </c>
      <c r="AC61" s="1">
        <f t="shared" si="30"/>
        <v>3.1056984933471457</v>
      </c>
      <c r="AD61" s="1">
        <f t="shared" si="30"/>
        <v>3.4767902225028964</v>
      </c>
      <c r="AE61" s="1">
        <f t="shared" si="30"/>
        <v>3.6782715423531265</v>
      </c>
      <c r="AF61" s="1">
        <f t="shared" si="30"/>
        <v>3.1495911680582407</v>
      </c>
      <c r="AG61" s="1">
        <f t="shared" si="30"/>
        <v>3.1130459823325811</v>
      </c>
      <c r="AH61" s="1">
        <f t="shared" si="30"/>
        <v>3.4307419557678949</v>
      </c>
      <c r="AI61" s="1">
        <f t="shared" si="30"/>
        <v>3.5486097379476833</v>
      </c>
      <c r="AJ61" s="1">
        <f t="shared" si="30"/>
        <v>3.7779520515907441</v>
      </c>
      <c r="AK61" s="1">
        <f t="shared" si="30"/>
        <v>3.762806225193132</v>
      </c>
      <c r="AL61" s="1">
        <f t="shared" si="30"/>
        <v>4.2324897899494482</v>
      </c>
      <c r="AM61" s="1">
        <f t="shared" si="30"/>
        <v>4.6881497651192552</v>
      </c>
      <c r="AN61" s="1">
        <f t="shared" si="30"/>
        <v>4.0118838294363623</v>
      </c>
      <c r="AO61" s="1">
        <f t="shared" si="30"/>
        <v>5.2742718443948302</v>
      </c>
      <c r="AP61" s="1">
        <f t="shared" si="30"/>
        <v>4.9903893800047845</v>
      </c>
      <c r="AQ61" s="1">
        <f t="shared" si="30"/>
        <v>3.7090385533255765</v>
      </c>
      <c r="AR61" s="1">
        <f t="shared" si="30"/>
        <v>4.0798891518994527</v>
      </c>
      <c r="AS61" s="1">
        <f t="shared" si="30"/>
        <v>4.3373609719218775</v>
      </c>
      <c r="AT61" s="1">
        <f t="shared" si="30"/>
        <v>4.2219606288790548</v>
      </c>
      <c r="AU61" s="1">
        <f t="shared" si="30"/>
        <v>4.1647611860409386</v>
      </c>
      <c r="AV61" s="1">
        <f t="shared" si="30"/>
        <v>3.410722470459993</v>
      </c>
      <c r="AW61" s="1">
        <f t="shared" si="30"/>
        <v>5.1891052294790008</v>
      </c>
      <c r="AX61" s="1">
        <f t="shared" si="30"/>
        <v>4.0316207886124058</v>
      </c>
      <c r="AY61" s="1">
        <f t="shared" si="30"/>
        <v>3.5641715114903372</v>
      </c>
      <c r="AZ61" s="1">
        <f t="shared" si="30"/>
        <v>2.5229077814667002</v>
      </c>
      <c r="BA61" s="1">
        <f t="shared" si="30"/>
        <v>2.5540040328792952</v>
      </c>
      <c r="BB61" s="1">
        <f t="shared" si="30"/>
        <v>2.7947572003226897</v>
      </c>
      <c r="BC61" s="1">
        <f t="shared" si="30"/>
        <v>2.2233590505761454</v>
      </c>
      <c r="BD61" s="1">
        <f t="shared" si="30"/>
        <v>3.2285692852077532</v>
      </c>
      <c r="BE61" s="1">
        <f t="shared" si="30"/>
        <v>2.9397498942353604</v>
      </c>
      <c r="BF61" s="1">
        <f t="shared" si="30"/>
        <v>1.2398959966977583</v>
      </c>
      <c r="BG61" s="1">
        <f t="shared" si="30"/>
        <v>1.4707563027276311</v>
      </c>
      <c r="BH61" s="1">
        <f t="shared" si="30"/>
        <v>0.58787750175377507</v>
      </c>
      <c r="BI61" s="1">
        <f t="shared" si="30"/>
        <v>1.0860398468609382</v>
      </c>
      <c r="BJ61" s="1">
        <f t="shared" si="30"/>
        <v>1.2113592452674504</v>
      </c>
      <c r="BK61" s="1">
        <f t="shared" si="30"/>
        <v>1.6206120628110676</v>
      </c>
      <c r="BL61" s="1">
        <f t="shared" si="30"/>
        <v>1.0446596611384951</v>
      </c>
      <c r="BM61" s="1">
        <f t="shared" si="30"/>
        <v>0.87783862277512514</v>
      </c>
      <c r="BN61" s="5">
        <v>9999999</v>
      </c>
      <c r="BO61" s="1">
        <f t="shared" si="30"/>
        <v>11.456435186062501</v>
      </c>
      <c r="BP61" s="1">
        <f t="shared" si="30"/>
        <v>12.171879745527606</v>
      </c>
      <c r="BQ61" s="1">
        <f t="shared" si="30"/>
        <v>2.0949331023643998</v>
      </c>
      <c r="BR61" s="1">
        <f t="shared" si="30"/>
        <v>2.1394323839508784</v>
      </c>
      <c r="BS61" s="1">
        <f t="shared" si="30"/>
        <v>1.5760028997342943</v>
      </c>
      <c r="BT61" s="1">
        <f t="shared" si="30"/>
        <v>2.7692620334944187</v>
      </c>
      <c r="BU61" s="1">
        <f t="shared" si="30"/>
        <v>1.5330472371743564</v>
      </c>
      <c r="BV61" s="1">
        <f t="shared" si="30"/>
        <v>2.0999826179544629</v>
      </c>
      <c r="BW61" s="1">
        <f t="shared" si="30"/>
        <v>2.1298496297168295</v>
      </c>
      <c r="BX61" s="1">
        <f t="shared" si="29"/>
        <v>1.8949217579856081</v>
      </c>
      <c r="BY61" s="1">
        <f t="shared" si="29"/>
        <v>2.4580040592604231</v>
      </c>
      <c r="BZ61" s="1">
        <f t="shared" si="29"/>
        <v>2.6308323040654864</v>
      </c>
      <c r="CA61" s="1">
        <f t="shared" si="29"/>
        <v>3.1371587931432372</v>
      </c>
      <c r="CB61" s="1">
        <f t="shared" si="29"/>
        <v>2.970519603692916</v>
      </c>
      <c r="CC61" s="1">
        <f t="shared" si="29"/>
        <v>7.2782651896060662</v>
      </c>
      <c r="CD61" s="1">
        <f t="shared" si="29"/>
        <v>8.9042242385318993</v>
      </c>
      <c r="CE61" s="1">
        <f t="shared" si="29"/>
        <v>6.5151645601451653</v>
      </c>
      <c r="CF61" s="1">
        <f t="shared" si="29"/>
        <v>6.7433279554169969</v>
      </c>
      <c r="CH61" s="1" t="s">
        <v>73</v>
      </c>
      <c r="CI61" s="1">
        <v>0</v>
      </c>
      <c r="CJ61" s="1">
        <v>0</v>
      </c>
      <c r="CK61" s="1">
        <v>0</v>
      </c>
      <c r="CL61" s="1">
        <v>0</v>
      </c>
      <c r="CM61" s="1">
        <v>0</v>
      </c>
      <c r="CN61" s="1">
        <v>0</v>
      </c>
      <c r="CO61" s="1">
        <v>0</v>
      </c>
      <c r="CP61" s="1">
        <v>0</v>
      </c>
      <c r="CQ61" s="1">
        <v>0</v>
      </c>
      <c r="CR61" s="1">
        <v>0</v>
      </c>
      <c r="CS61" s="1">
        <v>0</v>
      </c>
      <c r="CT61" s="1">
        <v>0</v>
      </c>
      <c r="CU61" s="1">
        <v>0</v>
      </c>
      <c r="CV61" s="1">
        <v>0</v>
      </c>
      <c r="CW61" s="1">
        <v>0</v>
      </c>
      <c r="CX61" s="1">
        <v>0</v>
      </c>
      <c r="CY61" s="1">
        <v>0</v>
      </c>
      <c r="CZ61" s="1">
        <v>0</v>
      </c>
      <c r="DA61" s="1">
        <v>0</v>
      </c>
      <c r="DB61" s="1">
        <v>0</v>
      </c>
      <c r="DC61" s="1">
        <v>0</v>
      </c>
      <c r="DD61" s="1">
        <v>0</v>
      </c>
      <c r="DE61" s="1">
        <v>0</v>
      </c>
      <c r="DF61" s="1">
        <v>0</v>
      </c>
      <c r="DG61" s="1">
        <v>0</v>
      </c>
      <c r="DH61" s="1">
        <v>0</v>
      </c>
      <c r="DI61" s="1">
        <v>0</v>
      </c>
      <c r="DJ61" s="1">
        <v>0</v>
      </c>
      <c r="DK61" s="1">
        <v>0</v>
      </c>
      <c r="DL61" s="1">
        <v>0</v>
      </c>
      <c r="DM61" s="1">
        <v>0</v>
      </c>
      <c r="DN61" s="1">
        <v>0</v>
      </c>
      <c r="DO61" s="1">
        <v>0</v>
      </c>
      <c r="DP61" s="1">
        <v>0</v>
      </c>
      <c r="DQ61" s="1">
        <v>0</v>
      </c>
      <c r="DR61" s="1">
        <v>0</v>
      </c>
      <c r="DS61" s="1">
        <v>0</v>
      </c>
      <c r="DT61" s="1">
        <v>0</v>
      </c>
      <c r="DU61" s="1">
        <v>0</v>
      </c>
      <c r="DV61" s="1">
        <v>0</v>
      </c>
      <c r="DW61" s="1">
        <v>0</v>
      </c>
      <c r="DX61" s="1">
        <v>0</v>
      </c>
      <c r="DY61" s="1">
        <v>0</v>
      </c>
      <c r="DZ61" s="1">
        <v>0</v>
      </c>
      <c r="EA61" s="1">
        <v>0</v>
      </c>
      <c r="EB61" s="1">
        <v>0</v>
      </c>
      <c r="EC61" s="1">
        <v>0</v>
      </c>
      <c r="ED61" s="1">
        <v>0</v>
      </c>
      <c r="EE61" s="1">
        <v>0</v>
      </c>
      <c r="EF61" s="1">
        <v>0</v>
      </c>
      <c r="EG61" s="1">
        <v>0</v>
      </c>
      <c r="EH61" s="1">
        <v>0</v>
      </c>
      <c r="EI61" s="1">
        <v>0</v>
      </c>
      <c r="EJ61" s="1">
        <v>0</v>
      </c>
      <c r="EK61" s="1">
        <v>0</v>
      </c>
      <c r="EL61" s="1">
        <v>0</v>
      </c>
      <c r="EM61" s="1">
        <v>0</v>
      </c>
      <c r="EN61" s="1">
        <v>0</v>
      </c>
      <c r="EO61" s="1">
        <v>0</v>
      </c>
      <c r="EP61" s="1">
        <v>0</v>
      </c>
      <c r="EQ61" s="1">
        <v>0</v>
      </c>
      <c r="ER61" s="1">
        <v>0</v>
      </c>
      <c r="ES61" s="1">
        <v>0</v>
      </c>
      <c r="ET61" s="1">
        <v>0</v>
      </c>
      <c r="EU61" s="1">
        <v>0</v>
      </c>
      <c r="EV61" s="1">
        <v>0</v>
      </c>
      <c r="EW61" s="1">
        <v>0</v>
      </c>
      <c r="EX61" s="1">
        <v>0</v>
      </c>
      <c r="EY61" s="1">
        <v>0</v>
      </c>
      <c r="EZ61" s="1">
        <v>0</v>
      </c>
      <c r="FA61" s="1">
        <v>0</v>
      </c>
      <c r="FB61" s="1">
        <v>1</v>
      </c>
      <c r="FC61" s="1">
        <v>0</v>
      </c>
      <c r="FD61" s="1">
        <v>0</v>
      </c>
      <c r="FE61" s="1">
        <f t="shared" si="0"/>
        <v>0</v>
      </c>
    </row>
    <row r="62" spans="5:161" ht="15.75" thickBot="1" x14ac:dyDescent="0.3">
      <c r="E62" s="1" t="s">
        <v>75</v>
      </c>
      <c r="F62" s="1">
        <v>11</v>
      </c>
      <c r="H62" s="1" t="s">
        <v>146</v>
      </c>
      <c r="I62" s="2">
        <v>23.283709999999999</v>
      </c>
      <c r="J62" s="2">
        <v>-15.020262199999999</v>
      </c>
      <c r="K62" s="1">
        <f t="shared" si="3"/>
        <v>17.268301165802196</v>
      </c>
      <c r="L62" s="1">
        <f t="shared" si="30"/>
        <v>16.992991062656468</v>
      </c>
      <c r="M62" s="1">
        <f t="shared" si="30"/>
        <v>16.491550893007357</v>
      </c>
      <c r="N62" s="1">
        <f t="shared" si="30"/>
        <v>16.940415146927279</v>
      </c>
      <c r="O62" s="1">
        <f t="shared" si="30"/>
        <v>17.222555216710806</v>
      </c>
      <c r="P62" s="1">
        <f t="shared" si="30"/>
        <v>15.995772046013027</v>
      </c>
      <c r="Q62" s="1">
        <f t="shared" si="30"/>
        <v>15.566841220865328</v>
      </c>
      <c r="R62" s="1">
        <f t="shared" si="30"/>
        <v>10.909962476987189</v>
      </c>
      <c r="S62" s="1">
        <f t="shared" si="30"/>
        <v>10.367108002997794</v>
      </c>
      <c r="T62" s="1">
        <f t="shared" si="30"/>
        <v>9.762558008849652</v>
      </c>
      <c r="U62" s="1">
        <f t="shared" si="30"/>
        <v>11.614180596744863</v>
      </c>
      <c r="V62" s="1">
        <f t="shared" si="30"/>
        <v>9.7647477795126481</v>
      </c>
      <c r="W62" s="1">
        <f t="shared" si="30"/>
        <v>17.354541384010023</v>
      </c>
      <c r="X62" s="1">
        <f t="shared" si="30"/>
        <v>10.685770193616879</v>
      </c>
      <c r="Y62" s="1">
        <f t="shared" si="30"/>
        <v>11.063947078992165</v>
      </c>
      <c r="Z62" s="1">
        <f t="shared" si="30"/>
        <v>13.667838775921497</v>
      </c>
      <c r="AA62" s="1">
        <f t="shared" si="30"/>
        <v>11.138997031597848</v>
      </c>
      <c r="AB62" s="1">
        <f t="shared" si="30"/>
        <v>13.927767069962794</v>
      </c>
      <c r="AC62" s="1">
        <f t="shared" si="30"/>
        <v>12.565881103752464</v>
      </c>
      <c r="AD62" s="1">
        <f t="shared" si="30"/>
        <v>11.573774942170047</v>
      </c>
      <c r="AE62" s="1">
        <f t="shared" si="30"/>
        <v>14.685509611574526</v>
      </c>
      <c r="AF62" s="1">
        <f t="shared" si="30"/>
        <v>14.236818675214499</v>
      </c>
      <c r="AG62" s="1">
        <f t="shared" si="30"/>
        <v>14.115399261160775</v>
      </c>
      <c r="AH62" s="1">
        <f t="shared" si="30"/>
        <v>14.254896111914764</v>
      </c>
      <c r="AI62" s="1">
        <f t="shared" si="30"/>
        <v>14.613797141839074</v>
      </c>
      <c r="AJ62" s="1">
        <f t="shared" si="30"/>
        <v>14.659130596852952</v>
      </c>
      <c r="AK62" s="1">
        <f t="shared" si="30"/>
        <v>14.405081476201699</v>
      </c>
      <c r="AL62" s="1">
        <f t="shared" si="30"/>
        <v>15.313483723969778</v>
      </c>
      <c r="AM62" s="1">
        <f t="shared" si="30"/>
        <v>15.525728379919968</v>
      </c>
      <c r="AN62" s="1">
        <f t="shared" si="30"/>
        <v>7.5597723022052365</v>
      </c>
      <c r="AO62" s="1">
        <f t="shared" si="30"/>
        <v>7.2598167075530755</v>
      </c>
      <c r="AP62" s="1">
        <f t="shared" si="30"/>
        <v>6.4761894745978719</v>
      </c>
      <c r="AQ62" s="1">
        <f t="shared" si="30"/>
        <v>7.7887078307043387</v>
      </c>
      <c r="AR62" s="1">
        <f t="shared" si="30"/>
        <v>15.525682203114313</v>
      </c>
      <c r="AS62" s="1">
        <f t="shared" si="30"/>
        <v>15.741156826236285</v>
      </c>
      <c r="AT62" s="1">
        <f t="shared" si="30"/>
        <v>15.620571087500679</v>
      </c>
      <c r="AU62" s="1">
        <f t="shared" si="30"/>
        <v>15.601077531591692</v>
      </c>
      <c r="AV62" s="1">
        <f t="shared" si="30"/>
        <v>14.849722383511278</v>
      </c>
      <c r="AW62" s="1">
        <f t="shared" si="30"/>
        <v>16.311498268798683</v>
      </c>
      <c r="AX62" s="1">
        <f t="shared" si="30"/>
        <v>15.369570093732676</v>
      </c>
      <c r="AY62" s="1">
        <f t="shared" si="30"/>
        <v>14.889501564870386</v>
      </c>
      <c r="AZ62" s="1">
        <f t="shared" si="30"/>
        <v>8.9594321239075398</v>
      </c>
      <c r="BA62" s="1">
        <f t="shared" si="30"/>
        <v>8.9436955703237491</v>
      </c>
      <c r="BB62" s="1">
        <f t="shared" si="30"/>
        <v>8.8066348537629615</v>
      </c>
      <c r="BC62" s="1">
        <f t="shared" si="30"/>
        <v>9.4622526975574228</v>
      </c>
      <c r="BD62" s="1">
        <f t="shared" si="30"/>
        <v>8.3141108046722874</v>
      </c>
      <c r="BE62" s="1">
        <f t="shared" si="30"/>
        <v>9.5644144710956773</v>
      </c>
      <c r="BF62" s="1">
        <f t="shared" si="30"/>
        <v>12.691577824278658</v>
      </c>
      <c r="BG62" s="1">
        <f t="shared" si="30"/>
        <v>12.909049313801146</v>
      </c>
      <c r="BH62" s="1">
        <f t="shared" si="30"/>
        <v>11.895817970740254</v>
      </c>
      <c r="BI62" s="1">
        <f t="shared" si="30"/>
        <v>12.518155782609046</v>
      </c>
      <c r="BJ62" s="1">
        <f t="shared" si="30"/>
        <v>12.638944737306746</v>
      </c>
      <c r="BK62" s="1">
        <f t="shared" si="30"/>
        <v>13.005398693319778</v>
      </c>
      <c r="BL62" s="1">
        <f t="shared" si="30"/>
        <v>12.450702451349468</v>
      </c>
      <c r="BM62" s="1">
        <f t="shared" si="30"/>
        <v>12.215511701118054</v>
      </c>
      <c r="BN62" s="1">
        <f t="shared" si="30"/>
        <v>11.456435186062501</v>
      </c>
      <c r="BO62" s="5">
        <v>9999999</v>
      </c>
      <c r="BP62" s="1">
        <f t="shared" si="30"/>
        <v>1.3408518202978663</v>
      </c>
      <c r="BQ62" s="1">
        <f t="shared" si="30"/>
        <v>12.531036254970649</v>
      </c>
      <c r="BR62" s="1">
        <f t="shared" si="30"/>
        <v>12.144227046140847</v>
      </c>
      <c r="BS62" s="1">
        <f t="shared" si="30"/>
        <v>12.320740529621641</v>
      </c>
      <c r="BT62" s="1">
        <f t="shared" si="30"/>
        <v>13.438609973703324</v>
      </c>
      <c r="BU62" s="1">
        <f t="shared" si="30"/>
        <v>12.569138331874214</v>
      </c>
      <c r="BV62" s="1">
        <f t="shared" si="30"/>
        <v>13.503078506773926</v>
      </c>
      <c r="BW62" s="1">
        <f t="shared" si="30"/>
        <v>13.533123577081678</v>
      </c>
      <c r="BX62" s="1">
        <f t="shared" si="29"/>
        <v>13.258071503031664</v>
      </c>
      <c r="BY62" s="1">
        <f t="shared" si="29"/>
        <v>13.855806054801945</v>
      </c>
      <c r="BZ62" s="1">
        <f t="shared" si="29"/>
        <v>13.83079375110629</v>
      </c>
      <c r="CA62" s="1">
        <f t="shared" si="29"/>
        <v>14.366523919094673</v>
      </c>
      <c r="CB62" s="1">
        <f t="shared" si="29"/>
        <v>14.25338837875081</v>
      </c>
      <c r="CC62" s="1">
        <f t="shared" si="29"/>
        <v>4.2793993743372463</v>
      </c>
      <c r="CD62" s="1">
        <f t="shared" si="29"/>
        <v>2.8928327797515543</v>
      </c>
      <c r="CE62" s="1">
        <f t="shared" si="29"/>
        <v>5.106105086803602</v>
      </c>
      <c r="CF62" s="1">
        <f t="shared" si="29"/>
        <v>4.8135431204933479</v>
      </c>
      <c r="CH62" s="1" t="s">
        <v>74</v>
      </c>
      <c r="CI62" s="1">
        <v>1</v>
      </c>
      <c r="CJ62" s="1">
        <v>0</v>
      </c>
      <c r="CK62" s="1">
        <v>0</v>
      </c>
      <c r="CL62" s="1">
        <v>0</v>
      </c>
      <c r="CM62" s="1">
        <v>0</v>
      </c>
      <c r="CN62" s="1">
        <v>0</v>
      </c>
      <c r="CO62" s="1">
        <v>0</v>
      </c>
      <c r="CP62" s="1">
        <v>0</v>
      </c>
      <c r="CQ62" s="1">
        <v>0</v>
      </c>
      <c r="CR62" s="1">
        <v>0</v>
      </c>
      <c r="CS62" s="1">
        <v>0</v>
      </c>
      <c r="CT62" s="1">
        <v>0</v>
      </c>
      <c r="CU62" s="1">
        <v>0</v>
      </c>
      <c r="CV62" s="1">
        <v>0</v>
      </c>
      <c r="CW62" s="1">
        <v>0</v>
      </c>
      <c r="CX62" s="1">
        <v>0</v>
      </c>
      <c r="CY62" s="1">
        <v>0</v>
      </c>
      <c r="CZ62" s="1">
        <v>0</v>
      </c>
      <c r="DA62" s="1">
        <v>0</v>
      </c>
      <c r="DB62" s="1">
        <v>0</v>
      </c>
      <c r="DC62" s="1">
        <v>0</v>
      </c>
      <c r="DD62" s="1">
        <v>0</v>
      </c>
      <c r="DE62" s="1">
        <v>0</v>
      </c>
      <c r="DF62" s="1">
        <v>0</v>
      </c>
      <c r="DG62" s="1">
        <v>0</v>
      </c>
      <c r="DH62" s="1">
        <v>0</v>
      </c>
      <c r="DI62" s="1">
        <v>0</v>
      </c>
      <c r="DJ62" s="1">
        <v>0</v>
      </c>
      <c r="DK62" s="1">
        <v>0</v>
      </c>
      <c r="DL62" s="1">
        <v>0</v>
      </c>
      <c r="DM62" s="1">
        <v>0</v>
      </c>
      <c r="DN62" s="1">
        <v>0</v>
      </c>
      <c r="DO62" s="1">
        <v>0</v>
      </c>
      <c r="DP62" s="1">
        <v>0</v>
      </c>
      <c r="DQ62" s="1">
        <v>0</v>
      </c>
      <c r="DR62" s="1">
        <v>0</v>
      </c>
      <c r="DS62" s="1">
        <v>0</v>
      </c>
      <c r="DT62" s="1">
        <v>0</v>
      </c>
      <c r="DU62" s="1">
        <v>0</v>
      </c>
      <c r="DV62" s="1">
        <v>0</v>
      </c>
      <c r="DW62" s="1">
        <v>0</v>
      </c>
      <c r="DX62" s="1">
        <v>0</v>
      </c>
      <c r="DY62" s="1">
        <v>0</v>
      </c>
      <c r="DZ62" s="1">
        <v>0</v>
      </c>
      <c r="EA62" s="1">
        <v>0</v>
      </c>
      <c r="EB62" s="1">
        <v>0</v>
      </c>
      <c r="EC62" s="1">
        <v>0</v>
      </c>
      <c r="ED62" s="1">
        <v>0</v>
      </c>
      <c r="EE62" s="1">
        <v>0</v>
      </c>
      <c r="EF62" s="1">
        <v>0</v>
      </c>
      <c r="EG62" s="1">
        <v>0</v>
      </c>
      <c r="EH62" s="1">
        <v>0</v>
      </c>
      <c r="EI62" s="1">
        <v>0</v>
      </c>
      <c r="EJ62" s="1">
        <v>0</v>
      </c>
      <c r="EK62" s="1">
        <v>0</v>
      </c>
      <c r="EL62" s="1">
        <v>0</v>
      </c>
      <c r="EM62" s="1">
        <v>0</v>
      </c>
      <c r="EN62" s="1">
        <v>0</v>
      </c>
      <c r="EO62" s="1">
        <v>0</v>
      </c>
      <c r="EP62" s="1">
        <v>0</v>
      </c>
      <c r="EQ62" s="1">
        <v>0</v>
      </c>
      <c r="ER62" s="1">
        <v>0</v>
      </c>
      <c r="ES62" s="1">
        <v>0</v>
      </c>
      <c r="ET62" s="1">
        <v>0</v>
      </c>
      <c r="EU62" s="1">
        <v>0</v>
      </c>
      <c r="EV62" s="1">
        <v>0</v>
      </c>
      <c r="EW62" s="1">
        <v>0</v>
      </c>
      <c r="EX62" s="1">
        <v>0</v>
      </c>
      <c r="EY62" s="1">
        <v>0</v>
      </c>
      <c r="EZ62" s="1">
        <v>0</v>
      </c>
      <c r="FA62" s="1">
        <v>0</v>
      </c>
      <c r="FB62" s="1">
        <v>0</v>
      </c>
      <c r="FC62" s="1">
        <v>0</v>
      </c>
      <c r="FD62" s="1">
        <v>0</v>
      </c>
      <c r="FE62" s="1">
        <f t="shared" si="0"/>
        <v>0</v>
      </c>
    </row>
    <row r="63" spans="5:161" ht="15.75" thickBot="1" x14ac:dyDescent="0.3">
      <c r="E63" s="1" t="s">
        <v>76</v>
      </c>
      <c r="F63" s="1">
        <v>8</v>
      </c>
      <c r="H63" s="1" t="s">
        <v>147</v>
      </c>
      <c r="I63" s="2">
        <v>22.072414500000001</v>
      </c>
      <c r="J63" s="2">
        <v>-14.445243230159999</v>
      </c>
      <c r="K63" s="1">
        <f t="shared" si="3"/>
        <v>17.681636471199653</v>
      </c>
      <c r="L63" s="1">
        <f t="shared" si="30"/>
        <v>17.479146613668064</v>
      </c>
      <c r="M63" s="1">
        <f t="shared" si="30"/>
        <v>16.991849847185005</v>
      </c>
      <c r="N63" s="1">
        <f t="shared" si="30"/>
        <v>17.340680859540115</v>
      </c>
      <c r="O63" s="1">
        <f t="shared" si="30"/>
        <v>17.664242758135384</v>
      </c>
      <c r="P63" s="1">
        <f t="shared" si="30"/>
        <v>16.454535107069084</v>
      </c>
      <c r="Q63" s="1">
        <f t="shared" si="30"/>
        <v>15.896534595879361</v>
      </c>
      <c r="R63" s="1">
        <f t="shared" si="30"/>
        <v>11.53033676443607</v>
      </c>
      <c r="S63" s="1">
        <f t="shared" si="30"/>
        <v>11.049574142929476</v>
      </c>
      <c r="T63" s="1">
        <f t="shared" si="30"/>
        <v>10.535701619297827</v>
      </c>
      <c r="U63" s="1">
        <f t="shared" si="30"/>
        <v>12.213880760445624</v>
      </c>
      <c r="V63" s="1">
        <f t="shared" si="30"/>
        <v>10.537288573401181</v>
      </c>
      <c r="W63" s="1">
        <f t="shared" si="30"/>
        <v>17.786661820339383</v>
      </c>
      <c r="X63" s="1">
        <f t="shared" si="30"/>
        <v>11.449164358064463</v>
      </c>
      <c r="Y63" s="1">
        <f t="shared" si="30"/>
        <v>11.766862230118114</v>
      </c>
      <c r="Z63" s="1">
        <f t="shared" si="30"/>
        <v>14.049106996682381</v>
      </c>
      <c r="AA63" s="1">
        <f t="shared" si="30"/>
        <v>11.621065601555671</v>
      </c>
      <c r="AB63" s="1">
        <f t="shared" si="30"/>
        <v>14.377829369269797</v>
      </c>
      <c r="AC63" s="1">
        <f t="shared" si="30"/>
        <v>12.990104412502237</v>
      </c>
      <c r="AD63" s="1">
        <f t="shared" si="30"/>
        <v>11.927058659926121</v>
      </c>
      <c r="AE63" s="1">
        <f t="shared" si="30"/>
        <v>15.231616962318673</v>
      </c>
      <c r="AF63" s="1">
        <f t="shared" si="30"/>
        <v>14.808337287025397</v>
      </c>
      <c r="AG63" s="1">
        <f t="shared" si="30"/>
        <v>14.673680214601799</v>
      </c>
      <c r="AH63" s="1">
        <f t="shared" si="30"/>
        <v>14.778922700146568</v>
      </c>
      <c r="AI63" s="1">
        <f t="shared" si="30"/>
        <v>15.172894014193965</v>
      </c>
      <c r="AJ63" s="1">
        <f t="shared" si="30"/>
        <v>15.182543562228769</v>
      </c>
      <c r="AK63" s="1">
        <f t="shared" si="30"/>
        <v>14.89595584035964</v>
      </c>
      <c r="AL63" s="1">
        <f t="shared" si="30"/>
        <v>15.862662443019357</v>
      </c>
      <c r="AM63" s="1">
        <f t="shared" si="30"/>
        <v>16.021946973391358</v>
      </c>
      <c r="AN63" s="1">
        <f t="shared" si="30"/>
        <v>8.188763705685778</v>
      </c>
      <c r="AO63" s="1">
        <f t="shared" si="30"/>
        <v>7.5922169101133825</v>
      </c>
      <c r="AP63" s="1">
        <f t="shared" si="30"/>
        <v>7.1912850498308405</v>
      </c>
      <c r="AQ63" s="1">
        <f t="shared" si="30"/>
        <v>8.4647719233907885</v>
      </c>
      <c r="AR63" s="1">
        <f t="shared" si="30"/>
        <v>16.2022201982019</v>
      </c>
      <c r="AS63" s="1">
        <f t="shared" si="30"/>
        <v>16.38503008611724</v>
      </c>
      <c r="AT63" s="1">
        <f t="shared" si="30"/>
        <v>16.262593765414675</v>
      </c>
      <c r="AU63" s="1">
        <f t="shared" si="30"/>
        <v>16.267759416156082</v>
      </c>
      <c r="AV63" s="1">
        <f t="shared" si="30"/>
        <v>15.52324380264243</v>
      </c>
      <c r="AW63" s="1">
        <f t="shared" si="30"/>
        <v>16.854864006299202</v>
      </c>
      <c r="AX63" s="1">
        <f t="shared" si="30"/>
        <v>15.987866494613261</v>
      </c>
      <c r="AY63" s="1">
        <f t="shared" si="30"/>
        <v>15.508970039991329</v>
      </c>
      <c r="AZ63" s="1">
        <f t="shared" si="30"/>
        <v>9.6504666365270371</v>
      </c>
      <c r="BA63" s="1">
        <f t="shared" si="30"/>
        <v>9.6242332380135647</v>
      </c>
      <c r="BB63" s="1">
        <f t="shared" si="30"/>
        <v>9.4395440227828882</v>
      </c>
      <c r="BC63" s="1">
        <f t="shared" si="30"/>
        <v>10.083138946361027</v>
      </c>
      <c r="BD63" s="1">
        <f t="shared" si="30"/>
        <v>8.9655176387815594</v>
      </c>
      <c r="BE63" s="1">
        <f t="shared" si="30"/>
        <v>10.041106505922956</v>
      </c>
      <c r="BF63" s="1">
        <f t="shared" si="30"/>
        <v>13.391876029272971</v>
      </c>
      <c r="BG63" s="1">
        <f t="shared" si="30"/>
        <v>13.597422683560849</v>
      </c>
      <c r="BH63" s="1">
        <f t="shared" si="30"/>
        <v>12.645752370774323</v>
      </c>
      <c r="BI63" s="1">
        <f t="shared" si="30"/>
        <v>13.207882561867633</v>
      </c>
      <c r="BJ63" s="1">
        <f t="shared" si="30"/>
        <v>13.325107273175213</v>
      </c>
      <c r="BK63" s="1">
        <f t="shared" si="30"/>
        <v>13.670742177161644</v>
      </c>
      <c r="BL63" s="1">
        <f t="shared" si="30"/>
        <v>13.132009466477138</v>
      </c>
      <c r="BM63" s="1">
        <f t="shared" si="30"/>
        <v>12.886049748993653</v>
      </c>
      <c r="BN63" s="1">
        <f t="shared" si="30"/>
        <v>12.171879745527606</v>
      </c>
      <c r="BO63" s="1">
        <f t="shared" si="30"/>
        <v>1.3408518202978663</v>
      </c>
      <c r="BP63" s="5">
        <v>9999999</v>
      </c>
      <c r="BQ63" s="1">
        <f t="shared" si="30"/>
        <v>13.06839993221792</v>
      </c>
      <c r="BR63" s="1">
        <f t="shared" si="30"/>
        <v>12.657219628186366</v>
      </c>
      <c r="BS63" s="1">
        <f t="shared" si="30"/>
        <v>12.905763754670849</v>
      </c>
      <c r="BT63" s="1">
        <f t="shared" si="30"/>
        <v>13.965083649882617</v>
      </c>
      <c r="BU63" s="1">
        <f t="shared" si="30"/>
        <v>13.180074577510597</v>
      </c>
      <c r="BV63" s="1">
        <f t="shared" si="30"/>
        <v>14.167987966642265</v>
      </c>
      <c r="BW63" s="1">
        <f t="shared" ref="BW63:CF66" si="31">SQRT(POWER($I63-BW$4,2)+POWER(BW$5-$J63,2))</f>
        <v>14.197737827873572</v>
      </c>
      <c r="BX63" s="1">
        <f t="shared" si="31"/>
        <v>13.912669110288711</v>
      </c>
      <c r="BY63" s="1">
        <f t="shared" si="31"/>
        <v>14.514318787552874</v>
      </c>
      <c r="BZ63" s="1">
        <f t="shared" si="31"/>
        <v>14.434286842771034</v>
      </c>
      <c r="CA63" s="1">
        <f t="shared" si="31"/>
        <v>14.966598775233948</v>
      </c>
      <c r="CB63" s="1">
        <f t="shared" si="31"/>
        <v>14.869109728727318</v>
      </c>
      <c r="CC63" s="1">
        <f t="shared" si="31"/>
        <v>5.2335306292280812</v>
      </c>
      <c r="CD63" s="1">
        <f t="shared" si="31"/>
        <v>4.0541052633690002</v>
      </c>
      <c r="CE63" s="1">
        <f t="shared" si="31"/>
        <v>6.0614463682355817</v>
      </c>
      <c r="CF63" s="1">
        <f t="shared" si="31"/>
        <v>5.4303157722511068</v>
      </c>
      <c r="CH63" s="1" t="s">
        <v>75</v>
      </c>
      <c r="CI63" s="1">
        <v>1</v>
      </c>
      <c r="CJ63" s="1">
        <v>0</v>
      </c>
      <c r="CK63" s="1">
        <v>0</v>
      </c>
      <c r="CL63" s="1">
        <v>0</v>
      </c>
      <c r="CM63" s="1">
        <v>0</v>
      </c>
      <c r="CN63" s="1">
        <v>0</v>
      </c>
      <c r="CO63" s="1">
        <v>0</v>
      </c>
      <c r="CP63" s="1">
        <v>0</v>
      </c>
      <c r="CQ63" s="1">
        <v>0</v>
      </c>
      <c r="CR63" s="1">
        <v>0</v>
      </c>
      <c r="CS63" s="1">
        <v>0</v>
      </c>
      <c r="CT63" s="1">
        <v>0</v>
      </c>
      <c r="CU63" s="1">
        <v>0</v>
      </c>
      <c r="CV63" s="1">
        <v>0</v>
      </c>
      <c r="CW63" s="1">
        <v>0</v>
      </c>
      <c r="CX63" s="1">
        <v>0</v>
      </c>
      <c r="CY63" s="1">
        <v>0</v>
      </c>
      <c r="CZ63" s="1">
        <v>0</v>
      </c>
      <c r="DA63" s="1">
        <v>0</v>
      </c>
      <c r="DB63" s="1">
        <v>0</v>
      </c>
      <c r="DC63" s="1">
        <v>0</v>
      </c>
      <c r="DD63" s="1">
        <v>0</v>
      </c>
      <c r="DE63" s="1">
        <v>0</v>
      </c>
      <c r="DF63" s="1">
        <v>0</v>
      </c>
      <c r="DG63" s="1">
        <v>0</v>
      </c>
      <c r="DH63" s="1">
        <v>0</v>
      </c>
      <c r="DI63" s="1">
        <v>0</v>
      </c>
      <c r="DJ63" s="1">
        <v>0</v>
      </c>
      <c r="DK63" s="1">
        <v>0</v>
      </c>
      <c r="DL63" s="1">
        <v>0</v>
      </c>
      <c r="DM63" s="1">
        <v>0</v>
      </c>
      <c r="DN63" s="1">
        <v>0</v>
      </c>
      <c r="DO63" s="1">
        <v>0</v>
      </c>
      <c r="DP63" s="1">
        <v>0</v>
      </c>
      <c r="DQ63" s="1">
        <v>0</v>
      </c>
      <c r="DR63" s="1">
        <v>0</v>
      </c>
      <c r="DS63" s="1">
        <v>0</v>
      </c>
      <c r="DT63" s="1">
        <v>0</v>
      </c>
      <c r="DU63" s="1">
        <v>0</v>
      </c>
      <c r="DV63" s="1">
        <v>0</v>
      </c>
      <c r="DW63" s="1">
        <v>0</v>
      </c>
      <c r="DX63" s="1">
        <v>0</v>
      </c>
      <c r="DY63" s="1">
        <v>0</v>
      </c>
      <c r="DZ63" s="1">
        <v>0</v>
      </c>
      <c r="EA63" s="1">
        <v>0</v>
      </c>
      <c r="EB63" s="1">
        <v>0</v>
      </c>
      <c r="EC63" s="1">
        <v>0</v>
      </c>
      <c r="ED63" s="1">
        <v>0</v>
      </c>
      <c r="EE63" s="1">
        <v>0</v>
      </c>
      <c r="EF63" s="1">
        <v>0</v>
      </c>
      <c r="EG63" s="1">
        <v>0</v>
      </c>
      <c r="EH63" s="1">
        <v>0</v>
      </c>
      <c r="EI63" s="1">
        <v>0</v>
      </c>
      <c r="EJ63" s="1">
        <v>0</v>
      </c>
      <c r="EK63" s="1">
        <v>0</v>
      </c>
      <c r="EL63" s="1">
        <v>0</v>
      </c>
      <c r="EM63" s="1">
        <v>0</v>
      </c>
      <c r="EN63" s="1">
        <v>0</v>
      </c>
      <c r="EO63" s="1">
        <v>0</v>
      </c>
      <c r="EP63" s="1">
        <v>0</v>
      </c>
      <c r="EQ63" s="1">
        <v>0</v>
      </c>
      <c r="ER63" s="1">
        <v>0</v>
      </c>
      <c r="ES63" s="1">
        <v>0</v>
      </c>
      <c r="ET63" s="1">
        <v>0</v>
      </c>
      <c r="EU63" s="1">
        <v>0</v>
      </c>
      <c r="EV63" s="1">
        <v>0</v>
      </c>
      <c r="EW63" s="1">
        <v>0</v>
      </c>
      <c r="EX63" s="1">
        <v>0</v>
      </c>
      <c r="EY63" s="1">
        <v>0</v>
      </c>
      <c r="EZ63" s="1">
        <v>0</v>
      </c>
      <c r="FA63" s="1">
        <v>0</v>
      </c>
      <c r="FB63" s="1">
        <v>0</v>
      </c>
      <c r="FC63" s="1">
        <v>0</v>
      </c>
      <c r="FD63" s="1">
        <v>0</v>
      </c>
      <c r="FE63" s="1">
        <f t="shared" si="0"/>
        <v>0</v>
      </c>
    </row>
    <row r="64" spans="5:161" ht="15.75" thickBot="1" x14ac:dyDescent="0.3">
      <c r="E64" s="1" t="s">
        <v>77</v>
      </c>
      <c r="F64" s="1">
        <v>14</v>
      </c>
      <c r="H64" s="1" t="s">
        <v>148</v>
      </c>
      <c r="I64" s="2">
        <v>32.334192999999999</v>
      </c>
      <c r="J64" s="2">
        <v>-6.3533350000000004</v>
      </c>
      <c r="K64" s="1">
        <f t="shared" si="3"/>
        <v>4.9076931373153938</v>
      </c>
      <c r="L64" s="1">
        <f t="shared" ref="L64:BW67" si="32">SQRT(POWER($I64-L$4,2)+POWER(L$5-$J64,2))</f>
        <v>4.4824183281430434</v>
      </c>
      <c r="M64" s="1">
        <f t="shared" si="32"/>
        <v>3.9698250257295982</v>
      </c>
      <c r="N64" s="1">
        <f t="shared" si="32"/>
        <v>4.6357465885205587</v>
      </c>
      <c r="O64" s="1">
        <f t="shared" si="32"/>
        <v>4.7867471607175949</v>
      </c>
      <c r="P64" s="1">
        <f t="shared" si="32"/>
        <v>3.5472906045021166</v>
      </c>
      <c r="Q64" s="1">
        <f t="shared" si="32"/>
        <v>3.7430695730012293</v>
      </c>
      <c r="R64" s="1">
        <f t="shared" si="32"/>
        <v>1.782613328698887</v>
      </c>
      <c r="S64" s="1">
        <f t="shared" si="32"/>
        <v>2.5317340718826551</v>
      </c>
      <c r="T64" s="1">
        <f t="shared" si="32"/>
        <v>3.5119207988840131</v>
      </c>
      <c r="U64" s="1">
        <f t="shared" si="32"/>
        <v>1.0899667560957991</v>
      </c>
      <c r="V64" s="1">
        <f t="shared" si="32"/>
        <v>3.5065505449130634</v>
      </c>
      <c r="W64" s="1">
        <f t="shared" si="32"/>
        <v>4.9390992524578996</v>
      </c>
      <c r="X64" s="1">
        <f t="shared" si="32"/>
        <v>2.8780490440007842</v>
      </c>
      <c r="Y64" s="1">
        <f t="shared" si="32"/>
        <v>2.1808960058838198</v>
      </c>
      <c r="Z64" s="1">
        <f t="shared" si="32"/>
        <v>1.9615418218545557</v>
      </c>
      <c r="AA64" s="1">
        <f t="shared" si="32"/>
        <v>1.519967229167785</v>
      </c>
      <c r="AB64" s="1">
        <f t="shared" si="32"/>
        <v>1.6501529539894173</v>
      </c>
      <c r="AC64" s="1">
        <f t="shared" si="32"/>
        <v>1.1561623631696372</v>
      </c>
      <c r="AD64" s="1">
        <f t="shared" si="32"/>
        <v>2.0715038574378752</v>
      </c>
      <c r="AE64" s="1">
        <f t="shared" si="32"/>
        <v>2.1632187521945014</v>
      </c>
      <c r="AF64" s="1">
        <f t="shared" si="32"/>
        <v>1.7662508777510224</v>
      </c>
      <c r="AG64" s="1">
        <f t="shared" si="32"/>
        <v>1.6132075031247164</v>
      </c>
      <c r="AH64" s="1">
        <f t="shared" si="32"/>
        <v>1.7252728164186106</v>
      </c>
      <c r="AI64" s="1">
        <f t="shared" si="32"/>
        <v>2.1099797239843348</v>
      </c>
      <c r="AJ64" s="1">
        <f t="shared" si="32"/>
        <v>2.1289899851868719</v>
      </c>
      <c r="AK64" s="1">
        <f t="shared" si="32"/>
        <v>1.9226748016089401</v>
      </c>
      <c r="AL64" s="1">
        <f t="shared" si="32"/>
        <v>2.7943019977035441</v>
      </c>
      <c r="AM64" s="1">
        <f t="shared" si="32"/>
        <v>3.0142002960661092</v>
      </c>
      <c r="AN64" s="1">
        <f t="shared" si="32"/>
        <v>4.9928122953462646</v>
      </c>
      <c r="AO64" s="1">
        <f t="shared" si="32"/>
        <v>5.610815686867145</v>
      </c>
      <c r="AP64" s="1">
        <f t="shared" si="32"/>
        <v>6.1401914145929508</v>
      </c>
      <c r="AQ64" s="1">
        <f t="shared" si="32"/>
        <v>4.8281768504124338</v>
      </c>
      <c r="AR64" s="1">
        <f t="shared" si="32"/>
        <v>3.4869074827941779</v>
      </c>
      <c r="AS64" s="1">
        <f t="shared" si="32"/>
        <v>3.5040067354900226</v>
      </c>
      <c r="AT64" s="1">
        <f t="shared" si="32"/>
        <v>3.3808479552944641</v>
      </c>
      <c r="AU64" s="1">
        <f t="shared" si="32"/>
        <v>3.4957700247334773</v>
      </c>
      <c r="AV64" s="1">
        <f t="shared" si="32"/>
        <v>2.8680511053780204</v>
      </c>
      <c r="AW64" s="1">
        <f t="shared" si="32"/>
        <v>3.7874941774796187</v>
      </c>
      <c r="AX64" s="1">
        <f t="shared" si="32"/>
        <v>3.0333984158052671</v>
      </c>
      <c r="AY64" s="1">
        <f t="shared" si="32"/>
        <v>2.5815889640025973</v>
      </c>
      <c r="AZ64" s="1">
        <f t="shared" si="32"/>
        <v>3.7722830271369459</v>
      </c>
      <c r="BA64" s="1">
        <f t="shared" si="32"/>
        <v>3.755633322093638</v>
      </c>
      <c r="BB64" s="1">
        <f t="shared" si="32"/>
        <v>3.7804665455728923</v>
      </c>
      <c r="BC64" s="1">
        <f t="shared" si="32"/>
        <v>3.1282776941113961</v>
      </c>
      <c r="BD64" s="1">
        <f t="shared" si="32"/>
        <v>4.284477390607079</v>
      </c>
      <c r="BE64" s="1">
        <f t="shared" si="32"/>
        <v>3.0510724428887301</v>
      </c>
      <c r="BF64" s="1">
        <f t="shared" si="32"/>
        <v>1.7868749818891987</v>
      </c>
      <c r="BG64" s="1">
        <f t="shared" si="32"/>
        <v>1.7109535076809441</v>
      </c>
      <c r="BH64" s="1">
        <f t="shared" si="32"/>
        <v>2.3278957923957213</v>
      </c>
      <c r="BI64" s="1">
        <f t="shared" si="32"/>
        <v>1.6414273542332016</v>
      </c>
      <c r="BJ64" s="1">
        <f t="shared" si="32"/>
        <v>1.6182753246555439</v>
      </c>
      <c r="BK64" s="1">
        <f t="shared" si="32"/>
        <v>1.4958951465804546</v>
      </c>
      <c r="BL64" s="1">
        <f t="shared" si="32"/>
        <v>1.5423712189582668</v>
      </c>
      <c r="BM64" s="1">
        <f t="shared" si="32"/>
        <v>1.4319915826009604</v>
      </c>
      <c r="BN64" s="1">
        <f t="shared" si="32"/>
        <v>2.0949331023643998</v>
      </c>
      <c r="BO64" s="1">
        <f t="shared" si="32"/>
        <v>12.531036254970649</v>
      </c>
      <c r="BP64" s="1">
        <f t="shared" si="32"/>
        <v>13.06839993221792</v>
      </c>
      <c r="BQ64" s="5">
        <v>9999999</v>
      </c>
      <c r="BR64" s="1">
        <f t="shared" si="32"/>
        <v>0.47062982575821194</v>
      </c>
      <c r="BS64" s="1">
        <f t="shared" si="32"/>
        <v>0.53107110329311225</v>
      </c>
      <c r="BT64" s="1">
        <f t="shared" si="32"/>
        <v>0.91067100804110301</v>
      </c>
      <c r="BU64" s="1">
        <f t="shared" si="32"/>
        <v>0.78292807756140825</v>
      </c>
      <c r="BV64" s="1">
        <f t="shared" si="32"/>
        <v>1.7552686415853385</v>
      </c>
      <c r="BW64" s="1">
        <f t="shared" si="32"/>
        <v>1.7716401185173005</v>
      </c>
      <c r="BX64" s="1">
        <f t="shared" si="31"/>
        <v>1.5083791524633001</v>
      </c>
      <c r="BY64" s="1">
        <f t="shared" si="31"/>
        <v>1.9425170129718299</v>
      </c>
      <c r="BZ64" s="1">
        <f t="shared" si="31"/>
        <v>1.5222045163958744</v>
      </c>
      <c r="CA64" s="1">
        <f t="shared" si="31"/>
        <v>1.9981315366516832</v>
      </c>
      <c r="CB64" s="1">
        <f t="shared" si="31"/>
        <v>1.9722597673605282</v>
      </c>
      <c r="CC64" s="1">
        <f t="shared" si="31"/>
        <v>8.5815406904250811</v>
      </c>
      <c r="CD64" s="1">
        <f t="shared" si="31"/>
        <v>10.229347405760384</v>
      </c>
      <c r="CE64" s="1">
        <f t="shared" si="31"/>
        <v>7.9053506019885855</v>
      </c>
      <c r="CF64" s="1">
        <f t="shared" si="31"/>
        <v>7.717637076429158</v>
      </c>
      <c r="CH64" s="1" t="s">
        <v>76</v>
      </c>
      <c r="CI64" s="1">
        <v>0</v>
      </c>
      <c r="CJ64" s="1">
        <v>0</v>
      </c>
      <c r="CK64" s="1">
        <v>0</v>
      </c>
      <c r="CL64" s="1">
        <v>0</v>
      </c>
      <c r="CM64" s="1">
        <v>0</v>
      </c>
      <c r="CN64" s="1">
        <v>0</v>
      </c>
      <c r="CO64" s="1">
        <v>0</v>
      </c>
      <c r="CP64" s="1">
        <v>0</v>
      </c>
      <c r="CQ64" s="1">
        <v>0</v>
      </c>
      <c r="CR64" s="1">
        <v>0</v>
      </c>
      <c r="CS64" s="1">
        <v>0</v>
      </c>
      <c r="CT64" s="1">
        <v>0</v>
      </c>
      <c r="CU64" s="1">
        <v>0</v>
      </c>
      <c r="CV64" s="1">
        <v>0</v>
      </c>
      <c r="CW64" s="1">
        <v>0</v>
      </c>
      <c r="CX64" s="1">
        <v>0</v>
      </c>
      <c r="CY64" s="1">
        <v>0</v>
      </c>
      <c r="CZ64" s="1">
        <v>0</v>
      </c>
      <c r="DA64" s="1">
        <v>0</v>
      </c>
      <c r="DB64" s="1">
        <v>0</v>
      </c>
      <c r="DC64" s="1">
        <v>0</v>
      </c>
      <c r="DD64" s="1">
        <v>0</v>
      </c>
      <c r="DE64" s="1">
        <v>0</v>
      </c>
      <c r="DF64" s="1">
        <v>0</v>
      </c>
      <c r="DG64" s="1">
        <v>0</v>
      </c>
      <c r="DH64" s="1">
        <v>0</v>
      </c>
      <c r="DI64" s="1">
        <v>0</v>
      </c>
      <c r="DJ64" s="1">
        <v>0</v>
      </c>
      <c r="DK64" s="1">
        <v>0</v>
      </c>
      <c r="DL64" s="1">
        <v>1</v>
      </c>
      <c r="DM64" s="1">
        <v>0</v>
      </c>
      <c r="DN64" s="1">
        <v>0</v>
      </c>
      <c r="DO64" s="1">
        <v>0</v>
      </c>
      <c r="DP64" s="1">
        <v>0</v>
      </c>
      <c r="DQ64" s="1">
        <v>0</v>
      </c>
      <c r="DR64" s="1">
        <v>0</v>
      </c>
      <c r="DS64" s="1">
        <v>0</v>
      </c>
      <c r="DT64" s="1">
        <v>0</v>
      </c>
      <c r="DU64" s="1">
        <v>0</v>
      </c>
      <c r="DV64" s="1">
        <v>0</v>
      </c>
      <c r="DW64" s="1">
        <v>0</v>
      </c>
      <c r="DX64" s="1">
        <v>0</v>
      </c>
      <c r="DY64" s="1">
        <v>0</v>
      </c>
      <c r="DZ64" s="1">
        <v>0</v>
      </c>
      <c r="EA64" s="1">
        <v>0</v>
      </c>
      <c r="EB64" s="1">
        <v>0</v>
      </c>
      <c r="EC64" s="1">
        <v>0</v>
      </c>
      <c r="ED64" s="1">
        <v>0</v>
      </c>
      <c r="EE64" s="1">
        <v>0</v>
      </c>
      <c r="EF64" s="1">
        <v>0</v>
      </c>
      <c r="EG64" s="1">
        <v>0</v>
      </c>
      <c r="EH64" s="1">
        <v>0</v>
      </c>
      <c r="EI64" s="1">
        <v>0</v>
      </c>
      <c r="EJ64" s="1">
        <v>0</v>
      </c>
      <c r="EK64" s="1">
        <v>0</v>
      </c>
      <c r="EL64" s="1">
        <v>0</v>
      </c>
      <c r="EM64" s="1">
        <v>0</v>
      </c>
      <c r="EN64" s="1">
        <v>0</v>
      </c>
      <c r="EO64" s="1">
        <v>0</v>
      </c>
      <c r="EP64" s="1">
        <v>0</v>
      </c>
      <c r="EQ64" s="1">
        <v>0</v>
      </c>
      <c r="ER64" s="1">
        <v>0</v>
      </c>
      <c r="ES64" s="1">
        <v>0</v>
      </c>
      <c r="ET64" s="1">
        <v>0</v>
      </c>
      <c r="EU64" s="1">
        <v>0</v>
      </c>
      <c r="EV64" s="1">
        <v>0</v>
      </c>
      <c r="EW64" s="1">
        <v>0</v>
      </c>
      <c r="EX64" s="1">
        <v>0</v>
      </c>
      <c r="EY64" s="1">
        <v>0</v>
      </c>
      <c r="EZ64" s="1">
        <v>0</v>
      </c>
      <c r="FA64" s="1">
        <v>0</v>
      </c>
      <c r="FB64" s="1">
        <v>0</v>
      </c>
      <c r="FC64" s="1">
        <v>0</v>
      </c>
      <c r="FD64" s="1">
        <v>0</v>
      </c>
      <c r="FE64" s="1">
        <f t="shared" si="0"/>
        <v>0</v>
      </c>
    </row>
    <row r="65" spans="5:161" ht="15.75" thickBot="1" x14ac:dyDescent="0.3">
      <c r="E65" s="1" t="s">
        <v>78</v>
      </c>
      <c r="F65" s="1">
        <v>13</v>
      </c>
      <c r="H65" s="1" t="s">
        <v>149</v>
      </c>
      <c r="I65" s="2">
        <v>31.870226200000001</v>
      </c>
      <c r="J65" s="2">
        <v>-6.4322478721500298</v>
      </c>
      <c r="K65" s="1">
        <f t="shared" si="3"/>
        <v>5.210970567529122</v>
      </c>
      <c r="L65" s="1">
        <f t="shared" si="32"/>
        <v>4.8499887546786651</v>
      </c>
      <c r="M65" s="1">
        <f t="shared" si="32"/>
        <v>4.347508348757227</v>
      </c>
      <c r="N65" s="1">
        <f t="shared" si="32"/>
        <v>4.9200984576373177</v>
      </c>
      <c r="O65" s="1">
        <f t="shared" si="32"/>
        <v>5.1161676669162475</v>
      </c>
      <c r="P65" s="1">
        <f t="shared" si="32"/>
        <v>3.8773024620524539</v>
      </c>
      <c r="Q65" s="1">
        <f t="shared" si="32"/>
        <v>3.894200782326946</v>
      </c>
      <c r="R65" s="1">
        <f t="shared" si="32"/>
        <v>1.5759788924051668</v>
      </c>
      <c r="S65" s="1">
        <f t="shared" si="32"/>
        <v>2.3496500174446582</v>
      </c>
      <c r="T65" s="1">
        <f t="shared" si="32"/>
        <v>3.3547125986482813</v>
      </c>
      <c r="U65" s="1">
        <f t="shared" si="32"/>
        <v>0.99175001714197952</v>
      </c>
      <c r="V65" s="1">
        <f t="shared" si="32"/>
        <v>3.349074468027458</v>
      </c>
      <c r="W65" s="1">
        <f t="shared" si="32"/>
        <v>5.2612650075746785</v>
      </c>
      <c r="X65" s="1">
        <f t="shared" si="32"/>
        <v>2.8260263613961825</v>
      </c>
      <c r="Y65" s="1">
        <f t="shared" si="32"/>
        <v>2.1335086603749165</v>
      </c>
      <c r="Z65" s="1">
        <f t="shared" si="32"/>
        <v>1.9990339859746975</v>
      </c>
      <c r="AA65" s="1">
        <f t="shared" si="32"/>
        <v>1.0638105842321863</v>
      </c>
      <c r="AB65" s="1">
        <f t="shared" si="32"/>
        <v>1.8762588267772655</v>
      </c>
      <c r="AC65" s="1">
        <f t="shared" si="32"/>
        <v>0.96627154724918407</v>
      </c>
      <c r="AD65" s="1">
        <f t="shared" si="32"/>
        <v>1.6530300260639927</v>
      </c>
      <c r="AE65" s="1">
        <f t="shared" si="32"/>
        <v>2.5864952421923659</v>
      </c>
      <c r="AF65" s="1">
        <f t="shared" si="32"/>
        <v>2.2185021708662735</v>
      </c>
      <c r="AG65" s="1">
        <f t="shared" si="32"/>
        <v>2.0557129723890326</v>
      </c>
      <c r="AH65" s="1">
        <f t="shared" si="32"/>
        <v>2.1218164797003407</v>
      </c>
      <c r="AI65" s="1">
        <f t="shared" si="32"/>
        <v>2.5467040056300316</v>
      </c>
      <c r="AJ65" s="1">
        <f t="shared" si="32"/>
        <v>2.5253239436986177</v>
      </c>
      <c r="AK65" s="1">
        <f t="shared" si="32"/>
        <v>2.2649161100450463</v>
      </c>
      <c r="AL65" s="1">
        <f t="shared" si="32"/>
        <v>3.2165330665817855</v>
      </c>
      <c r="AM65" s="1">
        <f t="shared" si="32"/>
        <v>3.3817221764159444</v>
      </c>
      <c r="AN65" s="1">
        <f t="shared" si="32"/>
        <v>4.6323343305775708</v>
      </c>
      <c r="AO65" s="1">
        <f t="shared" si="32"/>
        <v>5.1683000858053267</v>
      </c>
      <c r="AP65" s="1">
        <f t="shared" si="32"/>
        <v>5.7929858256564497</v>
      </c>
      <c r="AQ65" s="1">
        <f t="shared" si="32"/>
        <v>4.4931128202032218</v>
      </c>
      <c r="AR65" s="1">
        <f t="shared" si="32"/>
        <v>3.9575163834247356</v>
      </c>
      <c r="AS65" s="1">
        <f t="shared" si="32"/>
        <v>3.9711382906022261</v>
      </c>
      <c r="AT65" s="1">
        <f t="shared" si="32"/>
        <v>3.8482362478640306</v>
      </c>
      <c r="AU65" s="1">
        <f t="shared" si="32"/>
        <v>3.9661670204304373</v>
      </c>
      <c r="AV65" s="1">
        <f t="shared" si="32"/>
        <v>3.3367193762498673</v>
      </c>
      <c r="AW65" s="1">
        <f t="shared" si="32"/>
        <v>4.201211881666497</v>
      </c>
      <c r="AX65" s="1">
        <f t="shared" si="32"/>
        <v>3.4963471633118095</v>
      </c>
      <c r="AY65" s="1">
        <f t="shared" si="32"/>
        <v>3.0485209372855788</v>
      </c>
      <c r="AZ65" s="1">
        <f t="shared" si="32"/>
        <v>3.4875696417572741</v>
      </c>
      <c r="BA65" s="1">
        <f t="shared" si="32"/>
        <v>3.4622304514251079</v>
      </c>
      <c r="BB65" s="1">
        <f t="shared" si="32"/>
        <v>3.4474027061509447</v>
      </c>
      <c r="BC65" s="1">
        <f t="shared" si="32"/>
        <v>2.8076431692755133</v>
      </c>
      <c r="BD65" s="1">
        <f t="shared" si="32"/>
        <v>3.9496175755039604</v>
      </c>
      <c r="BE65" s="1">
        <f t="shared" si="32"/>
        <v>2.6218579204663608</v>
      </c>
      <c r="BF65" s="1">
        <f t="shared" si="32"/>
        <v>2.093798552630791</v>
      </c>
      <c r="BG65" s="1">
        <f t="shared" si="32"/>
        <v>2.0612773243271905</v>
      </c>
      <c r="BH65" s="1">
        <f t="shared" si="32"/>
        <v>2.47717652215576</v>
      </c>
      <c r="BI65" s="1">
        <f t="shared" si="32"/>
        <v>1.9198901672782973</v>
      </c>
      <c r="BJ65" s="1">
        <f t="shared" si="32"/>
        <v>1.9228784124520168</v>
      </c>
      <c r="BK65" s="1">
        <f t="shared" si="32"/>
        <v>1.878285389381638</v>
      </c>
      <c r="BL65" s="1">
        <f t="shared" si="32"/>
        <v>1.8090964838112145</v>
      </c>
      <c r="BM65" s="1">
        <f t="shared" si="32"/>
        <v>1.6408077014713718</v>
      </c>
      <c r="BN65" s="1">
        <f t="shared" si="32"/>
        <v>2.1394323839508784</v>
      </c>
      <c r="BO65" s="1">
        <f t="shared" si="32"/>
        <v>12.144227046140847</v>
      </c>
      <c r="BP65" s="1">
        <f t="shared" si="32"/>
        <v>12.657219628186366</v>
      </c>
      <c r="BQ65" s="1">
        <f t="shared" si="32"/>
        <v>0.47062982575821194</v>
      </c>
      <c r="BR65" s="5">
        <v>9999999</v>
      </c>
      <c r="BS65" s="1">
        <f t="shared" si="32"/>
        <v>0.76642669149563603</v>
      </c>
      <c r="BT65" s="1">
        <f t="shared" si="32"/>
        <v>1.3103214606381779</v>
      </c>
      <c r="BU65" s="1">
        <f t="shared" si="32"/>
        <v>1.1217471709247016</v>
      </c>
      <c r="BV65" s="1">
        <f t="shared" si="32"/>
        <v>2.1893155331339806</v>
      </c>
      <c r="BW65" s="1">
        <f t="shared" si="32"/>
        <v>2.207918920767507</v>
      </c>
      <c r="BX65" s="1">
        <f t="shared" si="31"/>
        <v>1.9301699033485689</v>
      </c>
      <c r="BY65" s="1">
        <f t="shared" si="31"/>
        <v>2.3983128382481378</v>
      </c>
      <c r="BZ65" s="1">
        <f t="shared" si="31"/>
        <v>1.9927823100341271</v>
      </c>
      <c r="CA65" s="1">
        <f t="shared" si="31"/>
        <v>2.4639773055784362</v>
      </c>
      <c r="CB65" s="1">
        <f t="shared" si="31"/>
        <v>2.4424282069573837</v>
      </c>
      <c r="CC65" s="1">
        <f t="shared" si="31"/>
        <v>8.2448820648194854</v>
      </c>
      <c r="CD65" s="1">
        <f t="shared" si="31"/>
        <v>9.890267425928938</v>
      </c>
      <c r="CE65" s="1">
        <f t="shared" si="31"/>
        <v>7.5895636296568085</v>
      </c>
      <c r="CF65" s="1">
        <f t="shared" si="31"/>
        <v>7.3316620363982521</v>
      </c>
      <c r="CH65" s="1" t="s">
        <v>77</v>
      </c>
      <c r="CI65" s="1">
        <v>0</v>
      </c>
      <c r="CJ65" s="1">
        <v>0</v>
      </c>
      <c r="CK65" s="1">
        <v>0</v>
      </c>
      <c r="CL65" s="1">
        <v>0</v>
      </c>
      <c r="CM65" s="1">
        <v>0</v>
      </c>
      <c r="CN65" s="1">
        <v>0</v>
      </c>
      <c r="CO65" s="1">
        <v>0</v>
      </c>
      <c r="CP65" s="1">
        <v>0</v>
      </c>
      <c r="CQ65" s="1">
        <v>0</v>
      </c>
      <c r="CR65" s="1">
        <v>0</v>
      </c>
      <c r="CS65" s="1">
        <v>0</v>
      </c>
      <c r="CT65" s="1">
        <v>0</v>
      </c>
      <c r="CU65" s="1">
        <v>0</v>
      </c>
      <c r="CV65" s="1">
        <v>0</v>
      </c>
      <c r="CW65" s="1">
        <v>0</v>
      </c>
      <c r="CX65" s="1">
        <v>0</v>
      </c>
      <c r="CY65" s="1">
        <v>0</v>
      </c>
      <c r="CZ65" s="1">
        <v>0</v>
      </c>
      <c r="DA65" s="1">
        <v>0</v>
      </c>
      <c r="DB65" s="1">
        <v>0</v>
      </c>
      <c r="DC65" s="1">
        <v>0</v>
      </c>
      <c r="DD65" s="1">
        <v>0</v>
      </c>
      <c r="DE65" s="1">
        <v>0</v>
      </c>
      <c r="DF65" s="1">
        <v>0</v>
      </c>
      <c r="DG65" s="1">
        <v>0</v>
      </c>
      <c r="DH65" s="1">
        <v>0</v>
      </c>
      <c r="DI65" s="1">
        <v>0</v>
      </c>
      <c r="DJ65" s="1">
        <v>0</v>
      </c>
      <c r="DK65" s="1">
        <v>0</v>
      </c>
      <c r="DL65" s="1">
        <v>0</v>
      </c>
      <c r="DM65" s="1">
        <v>0</v>
      </c>
      <c r="DN65" s="1">
        <v>0</v>
      </c>
      <c r="DO65" s="1">
        <v>0</v>
      </c>
      <c r="DP65" s="1">
        <v>0</v>
      </c>
      <c r="DQ65" s="1">
        <v>0</v>
      </c>
      <c r="DR65" s="1">
        <v>0</v>
      </c>
      <c r="DS65" s="1">
        <v>0</v>
      </c>
      <c r="DT65" s="1">
        <v>0</v>
      </c>
      <c r="DU65" s="1">
        <v>0</v>
      </c>
      <c r="DV65" s="1">
        <v>0</v>
      </c>
      <c r="DW65" s="1">
        <v>0</v>
      </c>
      <c r="DX65" s="1">
        <v>0</v>
      </c>
      <c r="DY65" s="1">
        <v>0</v>
      </c>
      <c r="DZ65" s="1">
        <v>0</v>
      </c>
      <c r="EA65" s="1">
        <v>0</v>
      </c>
      <c r="EB65" s="1">
        <v>0</v>
      </c>
      <c r="EC65" s="1">
        <v>1</v>
      </c>
      <c r="ED65" s="1">
        <v>0</v>
      </c>
      <c r="EE65" s="1">
        <v>0</v>
      </c>
      <c r="EF65" s="1">
        <v>0</v>
      </c>
      <c r="EG65" s="1">
        <v>0</v>
      </c>
      <c r="EH65" s="1">
        <v>0</v>
      </c>
      <c r="EI65" s="1">
        <v>0</v>
      </c>
      <c r="EJ65" s="1">
        <v>0</v>
      </c>
      <c r="EK65" s="1">
        <v>0</v>
      </c>
      <c r="EL65" s="1">
        <v>0</v>
      </c>
      <c r="EM65" s="1">
        <v>0</v>
      </c>
      <c r="EN65" s="1">
        <v>0</v>
      </c>
      <c r="EO65" s="1">
        <v>0</v>
      </c>
      <c r="EP65" s="1">
        <v>0</v>
      </c>
      <c r="EQ65" s="1">
        <v>0</v>
      </c>
      <c r="ER65" s="1">
        <v>0</v>
      </c>
      <c r="ES65" s="1">
        <v>0</v>
      </c>
      <c r="ET65" s="1">
        <v>0</v>
      </c>
      <c r="EU65" s="1">
        <v>0</v>
      </c>
      <c r="EV65" s="1">
        <v>0</v>
      </c>
      <c r="EW65" s="1">
        <v>0</v>
      </c>
      <c r="EX65" s="1">
        <v>0</v>
      </c>
      <c r="EY65" s="1">
        <v>0</v>
      </c>
      <c r="EZ65" s="1">
        <v>0</v>
      </c>
      <c r="FA65" s="1">
        <v>0</v>
      </c>
      <c r="FB65" s="1">
        <v>0</v>
      </c>
      <c r="FC65" s="1">
        <v>0</v>
      </c>
      <c r="FD65" s="1">
        <v>0</v>
      </c>
      <c r="FE65" s="1">
        <f t="shared" si="0"/>
        <v>0</v>
      </c>
    </row>
    <row r="66" spans="5:161" ht="15.75" thickBot="1" x14ac:dyDescent="0.3">
      <c r="E66" s="1" t="s">
        <v>79</v>
      </c>
      <c r="F66" s="1">
        <v>5</v>
      </c>
      <c r="H66" s="1" t="s">
        <v>150</v>
      </c>
      <c r="I66" s="2">
        <v>32.509831649999903</v>
      </c>
      <c r="J66" s="2">
        <v>-6.8545211743695402</v>
      </c>
      <c r="K66" s="1">
        <f t="shared" si="3"/>
        <v>5.2796677705555233</v>
      </c>
      <c r="L66" s="1">
        <f t="shared" si="32"/>
        <v>4.7763906048433187</v>
      </c>
      <c r="M66" s="1">
        <f t="shared" si="32"/>
        <v>4.2523602741018562</v>
      </c>
      <c r="N66" s="1">
        <f t="shared" si="32"/>
        <v>5.0280457810192081</v>
      </c>
      <c r="O66" s="1">
        <f t="shared" si="32"/>
        <v>5.1300854867124892</v>
      </c>
      <c r="P66" s="1">
        <f t="shared" si="32"/>
        <v>3.8998739249979493</v>
      </c>
      <c r="Q66" s="1">
        <f t="shared" si="32"/>
        <v>4.230300804693889</v>
      </c>
      <c r="R66" s="1">
        <f t="shared" si="32"/>
        <v>1.4383579525577281</v>
      </c>
      <c r="S66" s="1">
        <f t="shared" si="32"/>
        <v>2.1345611622794678</v>
      </c>
      <c r="T66" s="1">
        <f t="shared" si="32"/>
        <v>3.0791999178607186</v>
      </c>
      <c r="U66" s="1">
        <f t="shared" si="32"/>
        <v>0.71585576318581357</v>
      </c>
      <c r="V66" s="1">
        <f t="shared" si="32"/>
        <v>3.0740802374258047</v>
      </c>
      <c r="W66" s="1">
        <f t="shared" si="32"/>
        <v>5.2901057677701635</v>
      </c>
      <c r="X66" s="1">
        <f t="shared" si="32"/>
        <v>2.388605594913622</v>
      </c>
      <c r="Y66" s="1">
        <f t="shared" si="32"/>
        <v>1.6985642212491765</v>
      </c>
      <c r="Z66" s="1">
        <f t="shared" si="32"/>
        <v>2.4891352143857421</v>
      </c>
      <c r="AA66" s="1">
        <f t="shared" si="32"/>
        <v>1.5906389293324741</v>
      </c>
      <c r="AB66" s="1">
        <f t="shared" si="32"/>
        <v>2.1214878937702459</v>
      </c>
      <c r="AC66" s="1">
        <f t="shared" si="32"/>
        <v>1.651789854372482</v>
      </c>
      <c r="AD66" s="1">
        <f t="shared" si="32"/>
        <v>2.4073435796902141</v>
      </c>
      <c r="AE66" s="1">
        <f t="shared" si="32"/>
        <v>2.3884164872603177</v>
      </c>
      <c r="AF66" s="1">
        <f t="shared" si="32"/>
        <v>1.9171961030478604</v>
      </c>
      <c r="AG66" s="1">
        <f t="shared" si="32"/>
        <v>1.8076652232655919</v>
      </c>
      <c r="AH66" s="1">
        <f t="shared" si="32"/>
        <v>2.0219463484538931</v>
      </c>
      <c r="AI66" s="1">
        <f t="shared" si="32"/>
        <v>2.301054137652049</v>
      </c>
      <c r="AJ66" s="1">
        <f t="shared" si="32"/>
        <v>2.411345892648709</v>
      </c>
      <c r="AK66" s="1">
        <f t="shared" si="32"/>
        <v>2.2901202852749991</v>
      </c>
      <c r="AL66" s="1">
        <f t="shared" si="32"/>
        <v>3.006203706039134</v>
      </c>
      <c r="AM66" s="1">
        <f t="shared" si="32"/>
        <v>3.32418734285599</v>
      </c>
      <c r="AN66" s="1">
        <f t="shared" si="32"/>
        <v>4.7616522868658135</v>
      </c>
      <c r="AO66" s="1">
        <f t="shared" si="32"/>
        <v>5.5487837774660553</v>
      </c>
      <c r="AP66" s="1">
        <f t="shared" si="32"/>
        <v>5.8818535962394982</v>
      </c>
      <c r="AQ66" s="1">
        <f t="shared" si="32"/>
        <v>4.5611500797198445</v>
      </c>
      <c r="AR66" s="1">
        <f t="shared" si="32"/>
        <v>3.4325554638243831</v>
      </c>
      <c r="AS66" s="1">
        <f t="shared" si="32"/>
        <v>3.523659482644844</v>
      </c>
      <c r="AT66" s="1">
        <f t="shared" si="32"/>
        <v>3.3995326824950696</v>
      </c>
      <c r="AU66" s="1">
        <f t="shared" si="32"/>
        <v>3.4644427537314662</v>
      </c>
      <c r="AV66" s="1">
        <f t="shared" si="32"/>
        <v>2.7755418983837683</v>
      </c>
      <c r="AW66" s="1">
        <f t="shared" si="32"/>
        <v>4.0041860279308938</v>
      </c>
      <c r="AX66" s="1">
        <f t="shared" si="32"/>
        <v>3.092990392601159</v>
      </c>
      <c r="AY66" s="1">
        <f t="shared" si="32"/>
        <v>2.6188309335002757</v>
      </c>
      <c r="AZ66" s="1">
        <f t="shared" si="32"/>
        <v>3.4533212041793053</v>
      </c>
      <c r="BA66" s="1">
        <f t="shared" si="32"/>
        <v>3.4469458820378556</v>
      </c>
      <c r="BB66" s="1">
        <f t="shared" si="32"/>
        <v>3.5219178559106923</v>
      </c>
      <c r="BC66" s="1">
        <f t="shared" si="32"/>
        <v>2.8640475103263263</v>
      </c>
      <c r="BD66" s="1">
        <f t="shared" si="32"/>
        <v>4.022267820836829</v>
      </c>
      <c r="BE66" s="1">
        <f t="shared" si="32"/>
        <v>2.9799347074040097</v>
      </c>
      <c r="BF66" s="1">
        <f t="shared" si="32"/>
        <v>1.3276061089947648</v>
      </c>
      <c r="BG66" s="1">
        <f t="shared" si="32"/>
        <v>1.3010116825467783</v>
      </c>
      <c r="BH66" s="1">
        <f t="shared" si="32"/>
        <v>1.7980481601791534</v>
      </c>
      <c r="BI66" s="1">
        <f t="shared" si="32"/>
        <v>1.157824924290247</v>
      </c>
      <c r="BJ66" s="1">
        <f t="shared" si="32"/>
        <v>1.1566445567815551</v>
      </c>
      <c r="BK66" s="1">
        <f t="shared" si="32"/>
        <v>1.1391383301883813</v>
      </c>
      <c r="BL66" s="1">
        <f t="shared" si="32"/>
        <v>1.0499096631198421</v>
      </c>
      <c r="BM66" s="1">
        <f t="shared" si="32"/>
        <v>0.91015100770734214</v>
      </c>
      <c r="BN66" s="1">
        <f t="shared" si="32"/>
        <v>1.5760028997342943</v>
      </c>
      <c r="BO66" s="1">
        <f t="shared" si="32"/>
        <v>12.320740529621641</v>
      </c>
      <c r="BP66" s="1">
        <f t="shared" si="32"/>
        <v>12.905763754670849</v>
      </c>
      <c r="BQ66" s="1">
        <f t="shared" si="32"/>
        <v>0.53107110329311225</v>
      </c>
      <c r="BR66" s="1">
        <f t="shared" si="32"/>
        <v>0.76642669149563603</v>
      </c>
      <c r="BS66" s="5">
        <v>9999999</v>
      </c>
      <c r="BT66" s="1">
        <f t="shared" si="32"/>
        <v>1.2591043496617653</v>
      </c>
      <c r="BU66" s="1">
        <f t="shared" si="32"/>
        <v>0.37964015983095195</v>
      </c>
      <c r="BV66" s="1">
        <f t="shared" si="32"/>
        <v>1.5126672527374341</v>
      </c>
      <c r="BW66" s="1">
        <f t="shared" si="32"/>
        <v>1.5355916305875958</v>
      </c>
      <c r="BX66" s="1">
        <f t="shared" si="31"/>
        <v>1.2383446428807803</v>
      </c>
      <c r="BY66" s="1">
        <f t="shared" si="31"/>
        <v>1.7776284302490624</v>
      </c>
      <c r="BZ66" s="1">
        <f t="shared" si="31"/>
        <v>1.5345993728281566</v>
      </c>
      <c r="CA66" s="1">
        <f t="shared" si="31"/>
        <v>2.0623521489344654</v>
      </c>
      <c r="CB66" s="1">
        <f t="shared" si="31"/>
        <v>1.9805273273417066</v>
      </c>
      <c r="CC66" s="1">
        <f t="shared" si="31"/>
        <v>8.2997646140827843</v>
      </c>
      <c r="CD66" s="1">
        <f t="shared" si="31"/>
        <v>9.9474950025933229</v>
      </c>
      <c r="CE66" s="1">
        <f t="shared" si="31"/>
        <v>7.5982164980031</v>
      </c>
      <c r="CF66" s="1">
        <f t="shared" si="31"/>
        <v>7.5153039585525701</v>
      </c>
      <c r="CH66" s="1" t="s">
        <v>78</v>
      </c>
      <c r="CI66" s="1">
        <v>0</v>
      </c>
      <c r="CJ66" s="1">
        <v>0</v>
      </c>
      <c r="CK66" s="1">
        <v>0</v>
      </c>
      <c r="CL66" s="1">
        <v>0</v>
      </c>
      <c r="CM66" s="1">
        <v>0</v>
      </c>
      <c r="CN66" s="1">
        <v>0</v>
      </c>
      <c r="CO66" s="1">
        <v>0</v>
      </c>
      <c r="CP66" s="1">
        <v>0</v>
      </c>
      <c r="CQ66" s="1">
        <v>0</v>
      </c>
      <c r="CR66" s="1">
        <v>0</v>
      </c>
      <c r="CS66" s="1">
        <v>0</v>
      </c>
      <c r="CT66" s="1">
        <v>0</v>
      </c>
      <c r="CU66" s="1">
        <v>0</v>
      </c>
      <c r="CV66" s="1">
        <v>0</v>
      </c>
      <c r="CW66" s="1">
        <v>0</v>
      </c>
      <c r="CX66" s="1">
        <v>0</v>
      </c>
      <c r="CY66" s="1">
        <v>0</v>
      </c>
      <c r="CZ66" s="1">
        <v>0</v>
      </c>
      <c r="DA66" s="1">
        <v>0</v>
      </c>
      <c r="DB66" s="1">
        <v>0</v>
      </c>
      <c r="DC66" s="1">
        <v>0</v>
      </c>
      <c r="DD66" s="1">
        <v>0</v>
      </c>
      <c r="DE66" s="1">
        <v>0</v>
      </c>
      <c r="DF66" s="1">
        <v>0</v>
      </c>
      <c r="DG66" s="1">
        <v>0</v>
      </c>
      <c r="DH66" s="1">
        <v>0</v>
      </c>
      <c r="DI66" s="1">
        <v>0</v>
      </c>
      <c r="DJ66" s="1">
        <v>0</v>
      </c>
      <c r="DK66" s="1">
        <v>0</v>
      </c>
      <c r="DL66" s="1">
        <v>0</v>
      </c>
      <c r="DM66" s="1">
        <v>0</v>
      </c>
      <c r="DN66" s="1">
        <v>0</v>
      </c>
      <c r="DO66" s="1">
        <v>0</v>
      </c>
      <c r="DP66" s="1">
        <v>0</v>
      </c>
      <c r="DQ66" s="1">
        <v>0</v>
      </c>
      <c r="DR66" s="1">
        <v>0</v>
      </c>
      <c r="DS66" s="1">
        <v>0</v>
      </c>
      <c r="DT66" s="1">
        <v>0</v>
      </c>
      <c r="DU66" s="1">
        <v>0</v>
      </c>
      <c r="DV66" s="1">
        <v>0</v>
      </c>
      <c r="DW66" s="1">
        <v>0</v>
      </c>
      <c r="DX66" s="1">
        <v>0</v>
      </c>
      <c r="DY66" s="1">
        <v>0</v>
      </c>
      <c r="DZ66" s="1">
        <v>0</v>
      </c>
      <c r="EA66" s="1">
        <v>0</v>
      </c>
      <c r="EB66" s="1">
        <v>0</v>
      </c>
      <c r="EC66" s="1">
        <v>0</v>
      </c>
      <c r="ED66" s="1">
        <v>0</v>
      </c>
      <c r="EE66" s="1">
        <v>0</v>
      </c>
      <c r="EF66" s="1">
        <v>0</v>
      </c>
      <c r="EG66" s="1">
        <v>0</v>
      </c>
      <c r="EH66" s="1">
        <v>0</v>
      </c>
      <c r="EI66" s="1">
        <v>0</v>
      </c>
      <c r="EJ66" s="1">
        <v>1</v>
      </c>
      <c r="EK66" s="1">
        <v>0</v>
      </c>
      <c r="EL66" s="1">
        <v>0</v>
      </c>
      <c r="EM66" s="1">
        <v>0</v>
      </c>
      <c r="EN66" s="1">
        <v>0</v>
      </c>
      <c r="EO66" s="1">
        <v>0</v>
      </c>
      <c r="EP66" s="1">
        <v>0</v>
      </c>
      <c r="EQ66" s="1">
        <v>0</v>
      </c>
      <c r="ER66" s="1">
        <v>0</v>
      </c>
      <c r="ES66" s="1">
        <v>0</v>
      </c>
      <c r="ET66" s="1">
        <v>0</v>
      </c>
      <c r="EU66" s="1">
        <v>0</v>
      </c>
      <c r="EV66" s="1">
        <v>0</v>
      </c>
      <c r="EW66" s="1">
        <v>0</v>
      </c>
      <c r="EX66" s="1">
        <v>0</v>
      </c>
      <c r="EY66" s="1">
        <v>0</v>
      </c>
      <c r="EZ66" s="1">
        <v>0</v>
      </c>
      <c r="FA66" s="1">
        <v>0</v>
      </c>
      <c r="FB66" s="1">
        <v>0</v>
      </c>
      <c r="FC66" s="1">
        <v>0</v>
      </c>
      <c r="FD66" s="1">
        <v>0</v>
      </c>
      <c r="FE66" s="1">
        <f t="shared" si="0"/>
        <v>0</v>
      </c>
    </row>
    <row r="67" spans="5:161" ht="15.75" thickBot="1" x14ac:dyDescent="0.3">
      <c r="E67" s="1" t="s">
        <v>80</v>
      </c>
      <c r="F67" s="1">
        <v>12</v>
      </c>
      <c r="H67" s="1" t="s">
        <v>151</v>
      </c>
      <c r="I67" s="2">
        <v>32.935771799999998</v>
      </c>
      <c r="J67" s="2">
        <v>-5.6696504000000001</v>
      </c>
      <c r="K67" s="1">
        <f t="shared" si="3"/>
        <v>4.0253429281780164</v>
      </c>
      <c r="L67" s="1">
        <f t="shared" si="32"/>
        <v>3.5721312879296918</v>
      </c>
      <c r="M67" s="1">
        <f t="shared" si="32"/>
        <v>3.0591816682950372</v>
      </c>
      <c r="N67" s="1">
        <f t="shared" si="32"/>
        <v>3.7693177358724483</v>
      </c>
      <c r="O67" s="1">
        <f t="shared" si="32"/>
        <v>3.8885617080216943</v>
      </c>
      <c r="P67" s="1">
        <f t="shared" si="32"/>
        <v>2.6520745070994516</v>
      </c>
      <c r="Q67" s="1">
        <f t="shared" si="32"/>
        <v>3.0495618492042431</v>
      </c>
      <c r="R67" s="1">
        <f t="shared" si="32"/>
        <v>2.6638482090039144</v>
      </c>
      <c r="S67" s="1">
        <f t="shared" si="32"/>
        <v>3.3876853108206326</v>
      </c>
      <c r="T67" s="1">
        <f t="shared" si="32"/>
        <v>4.3381982662345617</v>
      </c>
      <c r="U67" s="1">
        <f t="shared" si="32"/>
        <v>1.9479449194470042</v>
      </c>
      <c r="V67" s="1">
        <f t="shared" si="32"/>
        <v>4.3330912748154402</v>
      </c>
      <c r="W67" s="1">
        <f t="shared" si="32"/>
        <v>4.0445454158182503</v>
      </c>
      <c r="X67" s="1">
        <f t="shared" si="32"/>
        <v>3.6235156119552863</v>
      </c>
      <c r="Y67" s="1">
        <f t="shared" si="32"/>
        <v>2.9447611572320418</v>
      </c>
      <c r="Z67" s="1">
        <f t="shared" si="32"/>
        <v>1.5937511547835574</v>
      </c>
      <c r="AA67" s="1">
        <f t="shared" si="32"/>
        <v>2.3671323508668007</v>
      </c>
      <c r="AB67" s="1">
        <f t="shared" si="32"/>
        <v>0.9642008158400408</v>
      </c>
      <c r="AC67" s="1">
        <f t="shared" si="32"/>
        <v>1.4212051535834636</v>
      </c>
      <c r="AD67" s="1">
        <f t="shared" si="32"/>
        <v>2.6131099573504724</v>
      </c>
      <c r="AE67" s="1">
        <f t="shared" si="32"/>
        <v>1.2784943751144986</v>
      </c>
      <c r="AF67" s="1">
        <f t="shared" si="32"/>
        <v>0.97189739777399176</v>
      </c>
      <c r="AG67" s="1">
        <f t="shared" si="32"/>
        <v>0.7831942212133598</v>
      </c>
      <c r="AH67" s="1">
        <f t="shared" si="32"/>
        <v>0.81632288524823549</v>
      </c>
      <c r="AI67" s="1">
        <f t="shared" si="32"/>
        <v>1.2516849745409619</v>
      </c>
      <c r="AJ67" s="1">
        <f t="shared" si="32"/>
        <v>1.2206421159266132</v>
      </c>
      <c r="AK67" s="1">
        <f t="shared" si="32"/>
        <v>1.0329309083246261</v>
      </c>
      <c r="AL67" s="1">
        <f t="shared" si="32"/>
        <v>1.9071198981602118</v>
      </c>
      <c r="AM67" s="1">
        <f t="shared" si="32"/>
        <v>2.1046429916247589</v>
      </c>
      <c r="AN67" s="1">
        <f t="shared" si="32"/>
        <v>5.9034150362153621</v>
      </c>
      <c r="AO67" s="1">
        <f t="shared" si="32"/>
        <v>6.4743775532151524</v>
      </c>
      <c r="AP67" s="1">
        <f t="shared" si="32"/>
        <v>7.050401480884501</v>
      </c>
      <c r="AQ67" s="1">
        <f t="shared" si="32"/>
        <v>5.737329795712121</v>
      </c>
      <c r="AR67" s="1">
        <f t="shared" si="32"/>
        <v>2.8448002350290884</v>
      </c>
      <c r="AS67" s="1">
        <f t="shared" si="32"/>
        <v>2.7693422580028804</v>
      </c>
      <c r="AT67" s="1">
        <f t="shared" si="32"/>
        <v>2.6509102797246999</v>
      </c>
      <c r="AU67" s="1">
        <f t="shared" si="32"/>
        <v>2.8231830643667846</v>
      </c>
      <c r="AV67" s="1">
        <f t="shared" si="32"/>
        <v>2.3105640651554271</v>
      </c>
      <c r="AW67" s="1">
        <f t="shared" si="32"/>
        <v>2.8911585559370856</v>
      </c>
      <c r="AX67" s="1">
        <f t="shared" si="32"/>
        <v>2.2686097560194693</v>
      </c>
      <c r="AY67" s="1">
        <f t="shared" si="32"/>
        <v>1.8632164625168506</v>
      </c>
      <c r="AZ67" s="1">
        <f t="shared" si="32"/>
        <v>4.6697774718004617</v>
      </c>
      <c r="BA67" s="1">
        <f t="shared" si="32"/>
        <v>4.656102594442233</v>
      </c>
      <c r="BB67" s="1">
        <f t="shared" si="32"/>
        <v>4.6898676851599346</v>
      </c>
      <c r="BC67" s="1">
        <f t="shared" si="32"/>
        <v>4.0364627928777423</v>
      </c>
      <c r="BD67" s="1">
        <f t="shared" si="32"/>
        <v>5.1938399158553237</v>
      </c>
      <c r="BE67" s="1">
        <f t="shared" si="32"/>
        <v>3.9321667221393493</v>
      </c>
      <c r="BF67" s="1">
        <f t="shared" si="32"/>
        <v>2.0586199639415632</v>
      </c>
      <c r="BG67" s="1">
        <f t="shared" si="32"/>
        <v>1.8801585729910364</v>
      </c>
      <c r="BH67" s="1">
        <f t="shared" si="32"/>
        <v>2.8464086249451022</v>
      </c>
      <c r="BI67" s="1">
        <f t="shared" si="32"/>
        <v>1.9991228671622976</v>
      </c>
      <c r="BJ67" s="1">
        <f t="shared" si="32"/>
        <v>1.9216191511069005</v>
      </c>
      <c r="BK67" s="1">
        <f t="shared" si="32"/>
        <v>1.605062556123638</v>
      </c>
      <c r="BL67" s="1">
        <f t="shared" si="32"/>
        <v>1.9400971132814593</v>
      </c>
      <c r="BM67" s="1">
        <f t="shared" si="32"/>
        <v>1.9513543256391446</v>
      </c>
      <c r="BN67" s="1">
        <f t="shared" si="32"/>
        <v>2.7692620334944187</v>
      </c>
      <c r="BO67" s="1">
        <f t="shared" si="32"/>
        <v>13.438609973703324</v>
      </c>
      <c r="BP67" s="1">
        <f t="shared" si="32"/>
        <v>13.965083649882617</v>
      </c>
      <c r="BQ67" s="1">
        <f t="shared" si="32"/>
        <v>0.91067100804110301</v>
      </c>
      <c r="BR67" s="1">
        <f t="shared" si="32"/>
        <v>1.3103214606381779</v>
      </c>
      <c r="BS67" s="1">
        <f t="shared" si="32"/>
        <v>1.2591043496617653</v>
      </c>
      <c r="BT67" s="5">
        <v>9999999</v>
      </c>
      <c r="BU67" s="1">
        <f t="shared" si="32"/>
        <v>1.240606250050434</v>
      </c>
      <c r="BV67" s="1">
        <f t="shared" si="32"/>
        <v>1.5926191023011378</v>
      </c>
      <c r="BW67" s="1">
        <f t="shared" ref="BW67:CF74" si="33">SQRT(POWER($I67-BW$4,2)+POWER(BW$5-$J67,2))</f>
        <v>1.5936486057256787</v>
      </c>
      <c r="BX67" s="1">
        <f t="shared" si="33"/>
        <v>1.4569353315047029</v>
      </c>
      <c r="BY67" s="1">
        <f t="shared" si="33"/>
        <v>1.6051910806097831</v>
      </c>
      <c r="BZ67" s="1">
        <f t="shared" si="33"/>
        <v>0.98108605774019719</v>
      </c>
      <c r="CA67" s="1">
        <f t="shared" si="33"/>
        <v>1.2913163807080799</v>
      </c>
      <c r="CB67" s="1">
        <f t="shared" si="33"/>
        <v>1.3489315506745359</v>
      </c>
      <c r="CC67" s="1">
        <f t="shared" si="33"/>
        <v>9.4899817181180524</v>
      </c>
      <c r="CD67" s="1">
        <f t="shared" si="33"/>
        <v>11.138000070603645</v>
      </c>
      <c r="CE67" s="1">
        <f t="shared" si="33"/>
        <v>8.8088895417056357</v>
      </c>
      <c r="CF67" s="1">
        <f t="shared" si="33"/>
        <v>8.6250671603121667</v>
      </c>
      <c r="CH67" s="1" t="s">
        <v>79</v>
      </c>
      <c r="CI67" s="1">
        <v>0</v>
      </c>
      <c r="CJ67" s="1">
        <v>0</v>
      </c>
      <c r="CK67" s="1">
        <v>0</v>
      </c>
      <c r="CL67" s="1">
        <v>0</v>
      </c>
      <c r="CM67" s="1">
        <v>0</v>
      </c>
      <c r="CN67" s="1">
        <v>0</v>
      </c>
      <c r="CO67" s="1">
        <v>0</v>
      </c>
      <c r="CP67" s="1">
        <v>0</v>
      </c>
      <c r="CQ67" s="1">
        <v>0</v>
      </c>
      <c r="CR67" s="1">
        <v>0</v>
      </c>
      <c r="CS67" s="1">
        <v>0</v>
      </c>
      <c r="CT67" s="1">
        <v>0</v>
      </c>
      <c r="CU67" s="1">
        <v>0</v>
      </c>
      <c r="CV67" s="1">
        <v>0</v>
      </c>
      <c r="CW67" s="1">
        <v>0</v>
      </c>
      <c r="CX67" s="1">
        <v>0</v>
      </c>
      <c r="CY67" s="1">
        <v>0</v>
      </c>
      <c r="CZ67" s="1">
        <v>0</v>
      </c>
      <c r="DA67" s="1">
        <v>0</v>
      </c>
      <c r="DB67" s="1">
        <v>0</v>
      </c>
      <c r="DC67" s="1">
        <v>0</v>
      </c>
      <c r="DD67" s="1">
        <v>0</v>
      </c>
      <c r="DE67" s="1">
        <v>0</v>
      </c>
      <c r="DF67" s="1">
        <v>0</v>
      </c>
      <c r="DG67" s="1">
        <v>0</v>
      </c>
      <c r="DH67" s="1">
        <v>0</v>
      </c>
      <c r="DI67" s="1">
        <v>0</v>
      </c>
      <c r="DJ67" s="1">
        <v>0</v>
      </c>
      <c r="DK67" s="1">
        <v>0</v>
      </c>
      <c r="DL67" s="1">
        <v>0</v>
      </c>
      <c r="DM67" s="1">
        <v>0</v>
      </c>
      <c r="DN67" s="1">
        <v>0</v>
      </c>
      <c r="DO67" s="1">
        <v>0</v>
      </c>
      <c r="DP67" s="1">
        <v>0</v>
      </c>
      <c r="DQ67" s="1">
        <v>0</v>
      </c>
      <c r="DR67" s="1">
        <v>0</v>
      </c>
      <c r="DS67" s="1">
        <v>0</v>
      </c>
      <c r="DT67" s="1">
        <v>0</v>
      </c>
      <c r="DU67" s="1">
        <v>0</v>
      </c>
      <c r="DV67" s="1">
        <v>0</v>
      </c>
      <c r="DW67" s="1">
        <v>0</v>
      </c>
      <c r="DX67" s="1">
        <v>0</v>
      </c>
      <c r="DY67" s="1">
        <v>0</v>
      </c>
      <c r="DZ67" s="1">
        <v>0</v>
      </c>
      <c r="EA67" s="1">
        <v>0</v>
      </c>
      <c r="EB67" s="1">
        <v>0</v>
      </c>
      <c r="EC67" s="1">
        <v>0</v>
      </c>
      <c r="ED67" s="1">
        <v>0</v>
      </c>
      <c r="EE67" s="1">
        <v>0</v>
      </c>
      <c r="EF67" s="1">
        <v>0</v>
      </c>
      <c r="EG67" s="1">
        <v>0</v>
      </c>
      <c r="EH67" s="1">
        <v>0</v>
      </c>
      <c r="EI67" s="1">
        <v>0</v>
      </c>
      <c r="EJ67" s="1">
        <v>0</v>
      </c>
      <c r="EK67" s="1">
        <v>0</v>
      </c>
      <c r="EL67" s="1">
        <v>0</v>
      </c>
      <c r="EM67" s="1">
        <v>0</v>
      </c>
      <c r="EN67" s="1">
        <v>0</v>
      </c>
      <c r="EO67" s="1">
        <v>0</v>
      </c>
      <c r="EP67" s="1">
        <v>0</v>
      </c>
      <c r="EQ67" s="1">
        <v>0</v>
      </c>
      <c r="ER67" s="1">
        <v>0</v>
      </c>
      <c r="ES67" s="1">
        <v>0</v>
      </c>
      <c r="ET67" s="1">
        <v>0</v>
      </c>
      <c r="EU67" s="1">
        <v>0</v>
      </c>
      <c r="EV67" s="1">
        <v>0</v>
      </c>
      <c r="EW67" s="1">
        <v>1</v>
      </c>
      <c r="EX67" s="1">
        <v>0</v>
      </c>
      <c r="EY67" s="1">
        <v>0</v>
      </c>
      <c r="EZ67" s="1">
        <v>0</v>
      </c>
      <c r="FA67" s="1">
        <v>0</v>
      </c>
      <c r="FB67" s="1">
        <v>0</v>
      </c>
      <c r="FC67" s="1">
        <v>0</v>
      </c>
      <c r="FD67" s="1">
        <v>0</v>
      </c>
      <c r="FE67" s="1">
        <f t="shared" si="0"/>
        <v>0</v>
      </c>
    </row>
    <row r="68" spans="5:161" ht="15.75" thickBot="1" x14ac:dyDescent="0.3">
      <c r="E68" s="1" t="s">
        <v>81</v>
      </c>
      <c r="F68" s="1">
        <v>12</v>
      </c>
      <c r="H68" s="1" t="s">
        <v>152</v>
      </c>
      <c r="I68" s="2">
        <v>32.885508000000002</v>
      </c>
      <c r="J68" s="2">
        <v>-6.9092380000000002</v>
      </c>
      <c r="K68" s="1">
        <f t="shared" si="3"/>
        <v>5.1888831392099162</v>
      </c>
      <c r="L68" s="1">
        <f t="shared" ref="L68:BW71" si="34">SQRT(POWER($I68-L$4,2)+POWER(L$5-$J68,2))</f>
        <v>4.6220005826708261</v>
      </c>
      <c r="M68" s="1">
        <f t="shared" si="34"/>
        <v>4.092926978692998</v>
      </c>
      <c r="N68" s="1">
        <f t="shared" si="34"/>
        <v>4.958442457023172</v>
      </c>
      <c r="O68" s="1">
        <f t="shared" si="34"/>
        <v>5.0141002363529532</v>
      </c>
      <c r="P68" s="1">
        <f t="shared" si="34"/>
        <v>3.8009564662164954</v>
      </c>
      <c r="Q68" s="1">
        <f t="shared" si="34"/>
        <v>4.2842393636639589</v>
      </c>
      <c r="R68" s="1">
        <f t="shared" si="34"/>
        <v>1.6592265520094394</v>
      </c>
      <c r="S68" s="1">
        <f t="shared" si="34"/>
        <v>2.283747573145801</v>
      </c>
      <c r="T68" s="1">
        <f t="shared" si="34"/>
        <v>3.1710891896214979</v>
      </c>
      <c r="U68" s="1">
        <f t="shared" si="34"/>
        <v>0.96870274499869258</v>
      </c>
      <c r="V68" s="1">
        <f t="shared" si="34"/>
        <v>3.1663484826025243</v>
      </c>
      <c r="W68" s="1">
        <f t="shared" si="34"/>
        <v>5.1800313075989575</v>
      </c>
      <c r="X68" s="1">
        <f t="shared" si="34"/>
        <v>2.402798785609825</v>
      </c>
      <c r="Y68" s="1">
        <f t="shared" si="34"/>
        <v>1.7447081510241194</v>
      </c>
      <c r="Z68" s="1">
        <f t="shared" si="34"/>
        <v>2.6535148319359911</v>
      </c>
      <c r="AA68" s="1">
        <f t="shared" si="34"/>
        <v>1.9653157223331832</v>
      </c>
      <c r="AB68" s="1">
        <f t="shared" si="34"/>
        <v>2.1790207457025281</v>
      </c>
      <c r="AC68" s="1">
        <f t="shared" si="34"/>
        <v>1.9390898806295715</v>
      </c>
      <c r="AD68" s="1">
        <f t="shared" si="34"/>
        <v>2.7730965384439847</v>
      </c>
      <c r="AE68" s="1">
        <f t="shared" si="34"/>
        <v>2.2145329161704335</v>
      </c>
      <c r="AF68" s="1">
        <f t="shared" si="34"/>
        <v>1.7092631373118798</v>
      </c>
      <c r="AG68" s="1">
        <f t="shared" si="34"/>
        <v>1.6332463570839444</v>
      </c>
      <c r="AH68" s="1">
        <f t="shared" si="34"/>
        <v>1.9128198833944086</v>
      </c>
      <c r="AI68" s="1">
        <f t="shared" si="34"/>
        <v>2.1064012581673515</v>
      </c>
      <c r="AJ68" s="1">
        <f t="shared" si="34"/>
        <v>2.2785571499753945</v>
      </c>
      <c r="AK68" s="1">
        <f t="shared" si="34"/>
        <v>2.2315218839152866</v>
      </c>
      <c r="AL68" s="1">
        <f t="shared" si="34"/>
        <v>2.8106834564852736</v>
      </c>
      <c r="AM68" s="1">
        <f t="shared" si="34"/>
        <v>3.1957868365341588</v>
      </c>
      <c r="AN68" s="1">
        <f t="shared" si="34"/>
        <v>5.0114173234653139</v>
      </c>
      <c r="AO68" s="1">
        <f t="shared" si="34"/>
        <v>5.8755321290523685</v>
      </c>
      <c r="AP68" s="1">
        <f t="shared" si="34"/>
        <v>6.1102859091454134</v>
      </c>
      <c r="AQ68" s="1">
        <f t="shared" si="34"/>
        <v>4.7893094856580678</v>
      </c>
      <c r="AR68" s="1">
        <f t="shared" si="34"/>
        <v>3.0962054636460441</v>
      </c>
      <c r="AS68" s="1">
        <f t="shared" si="34"/>
        <v>3.2161219134297183</v>
      </c>
      <c r="AT68" s="1">
        <f t="shared" si="34"/>
        <v>3.0924974261035603</v>
      </c>
      <c r="AU68" s="1">
        <f t="shared" si="34"/>
        <v>3.1363806984686113</v>
      </c>
      <c r="AV68" s="1">
        <f t="shared" si="34"/>
        <v>2.4304023731503959</v>
      </c>
      <c r="AW68" s="1">
        <f t="shared" si="34"/>
        <v>3.8003277876967401</v>
      </c>
      <c r="AX68" s="1">
        <f t="shared" si="34"/>
        <v>2.807953049955648</v>
      </c>
      <c r="AY68" s="1">
        <f t="shared" si="34"/>
        <v>2.3288956599697621</v>
      </c>
      <c r="AZ68" s="1">
        <f t="shared" si="34"/>
        <v>3.6521375819435793</v>
      </c>
      <c r="BA68" s="1">
        <f t="shared" si="34"/>
        <v>3.65364181466368</v>
      </c>
      <c r="BB68" s="1">
        <f t="shared" si="34"/>
        <v>3.7625081436316399</v>
      </c>
      <c r="BC68" s="1">
        <f t="shared" si="34"/>
        <v>3.1077069759424432</v>
      </c>
      <c r="BD68" s="1">
        <f t="shared" si="34"/>
        <v>4.2567780239693338</v>
      </c>
      <c r="BE68" s="1">
        <f t="shared" si="34"/>
        <v>3.3133710399257157</v>
      </c>
      <c r="BF68" s="1">
        <f t="shared" si="34"/>
        <v>1.003948737721762</v>
      </c>
      <c r="BG68" s="1">
        <f t="shared" si="34"/>
        <v>0.94187194215324432</v>
      </c>
      <c r="BH68" s="1">
        <f t="shared" si="34"/>
        <v>1.6288369350853751</v>
      </c>
      <c r="BI68" s="1">
        <f t="shared" si="34"/>
        <v>0.86465804965026583</v>
      </c>
      <c r="BJ68" s="1">
        <f t="shared" si="34"/>
        <v>0.8355202288712108</v>
      </c>
      <c r="BK68" s="1">
        <f t="shared" si="34"/>
        <v>0.76197197741058242</v>
      </c>
      <c r="BL68" s="1">
        <f t="shared" si="34"/>
        <v>0.7729892253633347</v>
      </c>
      <c r="BM68" s="1">
        <f t="shared" si="34"/>
        <v>0.72017818209245965</v>
      </c>
      <c r="BN68" s="1">
        <f t="shared" si="34"/>
        <v>1.5330472371743564</v>
      </c>
      <c r="BO68" s="1">
        <f t="shared" si="34"/>
        <v>12.569138331874214</v>
      </c>
      <c r="BP68" s="1">
        <f t="shared" si="34"/>
        <v>13.180074577510597</v>
      </c>
      <c r="BQ68" s="1">
        <f t="shared" si="34"/>
        <v>0.78292807756140825</v>
      </c>
      <c r="BR68" s="1">
        <f t="shared" si="34"/>
        <v>1.1217471709247016</v>
      </c>
      <c r="BS68" s="1">
        <f t="shared" si="34"/>
        <v>0.37964015983095195</v>
      </c>
      <c r="BT68" s="1">
        <f t="shared" si="34"/>
        <v>1.240606250050434</v>
      </c>
      <c r="BU68" s="5">
        <v>9999999</v>
      </c>
      <c r="BV68" s="1">
        <f t="shared" si="34"/>
        <v>1.1393374769898665</v>
      </c>
      <c r="BW68" s="1">
        <f t="shared" si="34"/>
        <v>1.1632847209526957</v>
      </c>
      <c r="BX68" s="1">
        <f t="shared" si="33"/>
        <v>0.86294418898657232</v>
      </c>
      <c r="BY68" s="1">
        <f t="shared" si="33"/>
        <v>1.4201337213815444</v>
      </c>
      <c r="BZ68" s="1">
        <f t="shared" si="33"/>
        <v>1.2619675651656006</v>
      </c>
      <c r="CA68" s="1">
        <f t="shared" si="33"/>
        <v>1.7979871967375092</v>
      </c>
      <c r="CB68" s="1">
        <f t="shared" si="33"/>
        <v>1.6891380752102525</v>
      </c>
      <c r="CC68" s="1">
        <f t="shared" si="33"/>
        <v>8.5064709792582498</v>
      </c>
      <c r="CD68" s="1">
        <f t="shared" si="33"/>
        <v>10.151756251455927</v>
      </c>
      <c r="CE68" s="1">
        <f t="shared" si="33"/>
        <v>7.7875651873267113</v>
      </c>
      <c r="CF68" s="1">
        <f t="shared" si="33"/>
        <v>7.7738100953591633</v>
      </c>
      <c r="CH68" s="1" t="s">
        <v>80</v>
      </c>
      <c r="CI68" s="1">
        <v>0</v>
      </c>
      <c r="CJ68" s="1">
        <v>0</v>
      </c>
      <c r="CK68" s="1">
        <v>0</v>
      </c>
      <c r="CL68" s="1">
        <v>0</v>
      </c>
      <c r="CM68" s="1">
        <v>0</v>
      </c>
      <c r="CN68" s="1">
        <v>0</v>
      </c>
      <c r="CO68" s="1">
        <v>0</v>
      </c>
      <c r="CP68" s="1">
        <v>0</v>
      </c>
      <c r="CQ68" s="1">
        <v>0</v>
      </c>
      <c r="CR68" s="1">
        <v>0</v>
      </c>
      <c r="CS68" s="1">
        <v>0</v>
      </c>
      <c r="CT68" s="1">
        <v>0</v>
      </c>
      <c r="CU68" s="1">
        <v>0</v>
      </c>
      <c r="CV68" s="1">
        <v>0</v>
      </c>
      <c r="CW68" s="1">
        <v>0</v>
      </c>
      <c r="CX68" s="1">
        <v>0</v>
      </c>
      <c r="CY68" s="1">
        <v>0</v>
      </c>
      <c r="CZ68" s="1">
        <v>0</v>
      </c>
      <c r="DA68" s="1">
        <v>0</v>
      </c>
      <c r="DB68" s="1">
        <v>0</v>
      </c>
      <c r="DC68" s="1">
        <v>0</v>
      </c>
      <c r="DD68" s="1">
        <v>0</v>
      </c>
      <c r="DE68" s="1">
        <v>0</v>
      </c>
      <c r="DF68" s="1">
        <v>0</v>
      </c>
      <c r="DG68" s="1">
        <v>0</v>
      </c>
      <c r="DH68" s="1">
        <v>0</v>
      </c>
      <c r="DI68" s="1">
        <v>0</v>
      </c>
      <c r="DJ68" s="1">
        <v>0</v>
      </c>
      <c r="DK68" s="1">
        <v>0</v>
      </c>
      <c r="DL68" s="1">
        <v>0</v>
      </c>
      <c r="DM68" s="1">
        <v>0</v>
      </c>
      <c r="DN68" s="1">
        <v>0</v>
      </c>
      <c r="DO68" s="1">
        <v>0</v>
      </c>
      <c r="DP68" s="1">
        <v>0</v>
      </c>
      <c r="DQ68" s="1">
        <v>0</v>
      </c>
      <c r="DR68" s="1">
        <v>0</v>
      </c>
      <c r="DS68" s="1">
        <v>0</v>
      </c>
      <c r="DT68" s="1">
        <v>0</v>
      </c>
      <c r="DU68" s="1">
        <v>0</v>
      </c>
      <c r="DV68" s="1">
        <v>0</v>
      </c>
      <c r="DW68" s="1">
        <v>0</v>
      </c>
      <c r="DX68" s="1">
        <v>0</v>
      </c>
      <c r="DY68" s="1">
        <v>0</v>
      </c>
      <c r="DZ68" s="1">
        <v>0</v>
      </c>
      <c r="EA68" s="1">
        <v>0</v>
      </c>
      <c r="EB68" s="1">
        <v>0</v>
      </c>
      <c r="EC68" s="1">
        <v>0</v>
      </c>
      <c r="ED68" s="1">
        <v>0</v>
      </c>
      <c r="EE68" s="1">
        <v>0</v>
      </c>
      <c r="EF68" s="1">
        <v>0</v>
      </c>
      <c r="EG68" s="1">
        <v>0</v>
      </c>
      <c r="EH68" s="1">
        <v>0</v>
      </c>
      <c r="EI68" s="1">
        <v>0</v>
      </c>
      <c r="EJ68" s="1">
        <v>0</v>
      </c>
      <c r="EK68" s="1">
        <v>0</v>
      </c>
      <c r="EL68" s="1">
        <v>0</v>
      </c>
      <c r="EM68" s="1">
        <v>0</v>
      </c>
      <c r="EN68" s="1">
        <v>0</v>
      </c>
      <c r="EO68" s="1">
        <v>0</v>
      </c>
      <c r="EP68" s="1">
        <v>0</v>
      </c>
      <c r="EQ68" s="1">
        <v>0</v>
      </c>
      <c r="ER68" s="1">
        <v>0</v>
      </c>
      <c r="ES68" s="1">
        <v>0</v>
      </c>
      <c r="ET68" s="1">
        <v>1</v>
      </c>
      <c r="EU68" s="1">
        <v>0</v>
      </c>
      <c r="EV68" s="1">
        <v>0</v>
      </c>
      <c r="EW68" s="1">
        <v>0</v>
      </c>
      <c r="EX68" s="1">
        <v>0</v>
      </c>
      <c r="EY68" s="1">
        <v>0</v>
      </c>
      <c r="EZ68" s="1">
        <v>0</v>
      </c>
      <c r="FA68" s="1">
        <v>0</v>
      </c>
      <c r="FB68" s="1">
        <v>0</v>
      </c>
      <c r="FC68" s="1">
        <v>0</v>
      </c>
      <c r="FD68" s="1">
        <v>0</v>
      </c>
      <c r="FE68" s="1">
        <f t="shared" si="0"/>
        <v>0</v>
      </c>
    </row>
    <row r="69" spans="5:161" ht="15.75" thickBot="1" x14ac:dyDescent="0.3">
      <c r="E69" s="1" t="s">
        <v>82</v>
      </c>
      <c r="F69" s="1">
        <v>4</v>
      </c>
      <c r="H69" s="1" t="s">
        <v>153</v>
      </c>
      <c r="I69" s="2">
        <v>34.022359999999999</v>
      </c>
      <c r="J69" s="2">
        <v>-6.8340221999999997</v>
      </c>
      <c r="K69" s="1">
        <f t="shared" si="3"/>
        <v>4.8410682604770683</v>
      </c>
      <c r="L69" s="1">
        <f t="shared" si="34"/>
        <v>4.0965048330354294</v>
      </c>
      <c r="M69" s="1">
        <f t="shared" si="34"/>
        <v>3.5728966422072497</v>
      </c>
      <c r="N69" s="1">
        <f t="shared" si="34"/>
        <v>4.6829181458474416</v>
      </c>
      <c r="O69" s="1">
        <f t="shared" si="34"/>
        <v>4.5944890148875643</v>
      </c>
      <c r="P69" s="1">
        <f t="shared" si="34"/>
        <v>3.4876027393692417</v>
      </c>
      <c r="Q69" s="1">
        <f t="shared" si="34"/>
        <v>4.4065054566049895</v>
      </c>
      <c r="R69" s="1">
        <f t="shared" si="34"/>
        <v>2.6603988115104933</v>
      </c>
      <c r="S69" s="1">
        <f t="shared" si="34"/>
        <v>3.1361646238918786</v>
      </c>
      <c r="T69" s="1">
        <f t="shared" si="34"/>
        <v>3.8606696357642987</v>
      </c>
      <c r="U69" s="1">
        <f t="shared" si="34"/>
        <v>2.0496757471485183</v>
      </c>
      <c r="V69" s="1">
        <f t="shared" si="34"/>
        <v>3.8569875834847105</v>
      </c>
      <c r="W69" s="1">
        <f t="shared" si="34"/>
        <v>4.7734067909381546</v>
      </c>
      <c r="X69" s="1">
        <f t="shared" si="34"/>
        <v>2.9717682038952047</v>
      </c>
      <c r="Y69" s="1">
        <f t="shared" si="34"/>
        <v>2.4578001356911097</v>
      </c>
      <c r="Z69" s="1">
        <f t="shared" si="34"/>
        <v>3.1845726059964847</v>
      </c>
      <c r="AA69" s="1">
        <f t="shared" si="34"/>
        <v>3.1031200152313843</v>
      </c>
      <c r="AB69" s="1">
        <f t="shared" si="34"/>
        <v>2.4872392819035412</v>
      </c>
      <c r="AC69" s="1">
        <f t="shared" si="34"/>
        <v>2.8200337852953532</v>
      </c>
      <c r="AD69" s="1">
        <f t="shared" si="34"/>
        <v>3.826462246000506</v>
      </c>
      <c r="AE69" s="1">
        <f t="shared" si="34"/>
        <v>1.8178711676903065</v>
      </c>
      <c r="AF69" s="1">
        <f t="shared" si="34"/>
        <v>1.3079250698110687</v>
      </c>
      <c r="AG69" s="1">
        <f t="shared" si="34"/>
        <v>1.3796522476208655</v>
      </c>
      <c r="AH69" s="1">
        <f t="shared" si="34"/>
        <v>1.7961010844789986</v>
      </c>
      <c r="AI69" s="1">
        <f t="shared" si="34"/>
        <v>1.655867704277078</v>
      </c>
      <c r="AJ69" s="1">
        <f t="shared" si="34"/>
        <v>2.010407051398905</v>
      </c>
      <c r="AK69" s="1">
        <f t="shared" si="34"/>
        <v>2.2050861052521289</v>
      </c>
      <c r="AL69" s="1">
        <f t="shared" si="34"/>
        <v>2.2578094900702408</v>
      </c>
      <c r="AM69" s="1">
        <f t="shared" si="34"/>
        <v>2.8315530654247394</v>
      </c>
      <c r="AN69" s="1">
        <f t="shared" si="34"/>
        <v>5.9792501963140356</v>
      </c>
      <c r="AO69" s="1">
        <f t="shared" si="34"/>
        <v>6.9701629597438215</v>
      </c>
      <c r="AP69" s="1">
        <f t="shared" si="34"/>
        <v>7.0268939731261213</v>
      </c>
      <c r="AQ69" s="1">
        <f t="shared" si="34"/>
        <v>5.7182871916304707</v>
      </c>
      <c r="AR69" s="1">
        <f t="shared" si="34"/>
        <v>2.0353908225808883</v>
      </c>
      <c r="AS69" s="1">
        <f t="shared" si="34"/>
        <v>2.2453185536571971</v>
      </c>
      <c r="AT69" s="1">
        <f t="shared" si="34"/>
        <v>2.1275773949387031</v>
      </c>
      <c r="AU69" s="1">
        <f t="shared" si="34"/>
        <v>2.1006216099331723</v>
      </c>
      <c r="AV69" s="1">
        <f t="shared" si="34"/>
        <v>1.3562964693347572</v>
      </c>
      <c r="AW69" s="1">
        <f t="shared" si="34"/>
        <v>3.1507764155754443</v>
      </c>
      <c r="AX69" s="1">
        <f t="shared" si="34"/>
        <v>1.9345932052641615</v>
      </c>
      <c r="AY69" s="1">
        <f t="shared" si="34"/>
        <v>1.4751421238855733</v>
      </c>
      <c r="AZ69" s="1">
        <f t="shared" si="34"/>
        <v>4.5437119209402352</v>
      </c>
      <c r="BA69" s="1">
        <f t="shared" si="34"/>
        <v>4.560100589828985</v>
      </c>
      <c r="BB69" s="1">
        <f t="shared" si="34"/>
        <v>4.7288158007533756</v>
      </c>
      <c r="BC69" s="1">
        <f t="shared" si="34"/>
        <v>4.0912299371832805</v>
      </c>
      <c r="BD69" s="1">
        <f t="shared" si="34"/>
        <v>5.2046906199247323</v>
      </c>
      <c r="BE69" s="1">
        <f t="shared" si="34"/>
        <v>4.4241892884229541</v>
      </c>
      <c r="BF69" s="1">
        <f t="shared" si="34"/>
        <v>0.89490647772702936</v>
      </c>
      <c r="BG69" s="1">
        <f t="shared" si="34"/>
        <v>0.64419118654316465</v>
      </c>
      <c r="BH69" s="1">
        <f t="shared" si="34"/>
        <v>1.8436078201498305</v>
      </c>
      <c r="BI69" s="1">
        <f t="shared" si="34"/>
        <v>1.0145782960088567</v>
      </c>
      <c r="BJ69" s="1">
        <f t="shared" si="34"/>
        <v>0.88897523049736193</v>
      </c>
      <c r="BK69" s="1">
        <f t="shared" si="34"/>
        <v>0.49794619309846783</v>
      </c>
      <c r="BL69" s="1">
        <f t="shared" si="34"/>
        <v>1.0619532817519093</v>
      </c>
      <c r="BM69" s="1">
        <f t="shared" si="34"/>
        <v>1.2875855587323255</v>
      </c>
      <c r="BN69" s="1">
        <f t="shared" si="34"/>
        <v>2.0999826179544629</v>
      </c>
      <c r="BO69" s="1">
        <f t="shared" si="34"/>
        <v>13.503078506773926</v>
      </c>
      <c r="BP69" s="1">
        <f t="shared" si="34"/>
        <v>14.167987966642265</v>
      </c>
      <c r="BQ69" s="1">
        <f t="shared" si="34"/>
        <v>1.7552686415853385</v>
      </c>
      <c r="BR69" s="1">
        <f t="shared" si="34"/>
        <v>2.1893155331339806</v>
      </c>
      <c r="BS69" s="1">
        <f t="shared" si="34"/>
        <v>1.5126672527374341</v>
      </c>
      <c r="BT69" s="1">
        <f t="shared" si="34"/>
        <v>1.5926191023011378</v>
      </c>
      <c r="BU69" s="1">
        <f t="shared" si="34"/>
        <v>1.1393374769898665</v>
      </c>
      <c r="BV69" s="5">
        <v>9999999</v>
      </c>
      <c r="BW69" s="1">
        <f t="shared" si="34"/>
        <v>3.0129119934706669E-2</v>
      </c>
      <c r="BX69" s="1">
        <f t="shared" si="33"/>
        <v>0.27812719016905701</v>
      </c>
      <c r="BY69" s="1">
        <f t="shared" si="33"/>
        <v>0.35816783112144496</v>
      </c>
      <c r="BZ69" s="1">
        <f t="shared" si="33"/>
        <v>0.78526950137187901</v>
      </c>
      <c r="CA69" s="1">
        <f t="shared" si="33"/>
        <v>1.140982684129449</v>
      </c>
      <c r="CB69" s="1">
        <f t="shared" si="33"/>
        <v>0.93736075360164273</v>
      </c>
      <c r="CC69" s="1">
        <f t="shared" si="33"/>
        <v>9.3613227246863993</v>
      </c>
      <c r="CD69" s="1">
        <f t="shared" si="33"/>
        <v>10.99381774765641</v>
      </c>
      <c r="CE69" s="1">
        <f t="shared" si="33"/>
        <v>8.6077621197984779</v>
      </c>
      <c r="CF69" s="1">
        <f t="shared" si="33"/>
        <v>8.7418218039315381</v>
      </c>
      <c r="CH69" s="1" t="s">
        <v>81</v>
      </c>
      <c r="CI69" s="1">
        <v>0</v>
      </c>
      <c r="CJ69" s="1">
        <v>0</v>
      </c>
      <c r="CK69" s="1">
        <v>0</v>
      </c>
      <c r="CL69" s="1">
        <v>0</v>
      </c>
      <c r="CM69" s="1">
        <v>0</v>
      </c>
      <c r="CN69" s="1">
        <v>0</v>
      </c>
      <c r="CO69" s="1">
        <v>0</v>
      </c>
      <c r="CP69" s="1">
        <v>0</v>
      </c>
      <c r="CQ69" s="1">
        <v>0</v>
      </c>
      <c r="CR69" s="1">
        <v>0</v>
      </c>
      <c r="CS69" s="1">
        <v>0</v>
      </c>
      <c r="CT69" s="1">
        <v>0</v>
      </c>
      <c r="CU69" s="1">
        <v>0</v>
      </c>
      <c r="CV69" s="1">
        <v>0</v>
      </c>
      <c r="CW69" s="1">
        <v>0</v>
      </c>
      <c r="CX69" s="1">
        <v>0</v>
      </c>
      <c r="CY69" s="1">
        <v>0</v>
      </c>
      <c r="CZ69" s="1">
        <v>0</v>
      </c>
      <c r="DA69" s="1">
        <v>0</v>
      </c>
      <c r="DB69" s="1">
        <v>0</v>
      </c>
      <c r="DC69" s="1">
        <v>0</v>
      </c>
      <c r="DD69" s="1">
        <v>0</v>
      </c>
      <c r="DE69" s="1">
        <v>0</v>
      </c>
      <c r="DF69" s="1">
        <v>0</v>
      </c>
      <c r="DG69" s="1">
        <v>0</v>
      </c>
      <c r="DH69" s="1">
        <v>0</v>
      </c>
      <c r="DI69" s="1">
        <v>0</v>
      </c>
      <c r="DJ69" s="1">
        <v>0</v>
      </c>
      <c r="DK69" s="1">
        <v>0</v>
      </c>
      <c r="DL69" s="1">
        <v>0</v>
      </c>
      <c r="DM69" s="1">
        <v>0</v>
      </c>
      <c r="DN69" s="1">
        <v>0</v>
      </c>
      <c r="DO69" s="1">
        <v>0</v>
      </c>
      <c r="DP69" s="1">
        <v>0</v>
      </c>
      <c r="DQ69" s="1">
        <v>0</v>
      </c>
      <c r="DR69" s="1">
        <v>0</v>
      </c>
      <c r="DS69" s="1">
        <v>0</v>
      </c>
      <c r="DT69" s="1">
        <v>0</v>
      </c>
      <c r="DU69" s="1">
        <v>0</v>
      </c>
      <c r="DV69" s="1">
        <v>0</v>
      </c>
      <c r="DW69" s="1">
        <v>0</v>
      </c>
      <c r="DX69" s="1">
        <v>0</v>
      </c>
      <c r="DY69" s="1">
        <v>0</v>
      </c>
      <c r="DZ69" s="1">
        <v>0</v>
      </c>
      <c r="EA69" s="1">
        <v>0</v>
      </c>
      <c r="EB69" s="1">
        <v>0</v>
      </c>
      <c r="EC69" s="1">
        <v>0</v>
      </c>
      <c r="ED69" s="1">
        <v>0</v>
      </c>
      <c r="EE69" s="1">
        <v>0</v>
      </c>
      <c r="EF69" s="1">
        <v>0</v>
      </c>
      <c r="EG69" s="1">
        <v>0</v>
      </c>
      <c r="EH69" s="1">
        <v>0</v>
      </c>
      <c r="EI69" s="1">
        <v>0</v>
      </c>
      <c r="EJ69" s="1">
        <v>0</v>
      </c>
      <c r="EK69" s="1">
        <v>0</v>
      </c>
      <c r="EL69" s="1">
        <v>0</v>
      </c>
      <c r="EM69" s="1">
        <v>0</v>
      </c>
      <c r="EN69" s="1">
        <v>0</v>
      </c>
      <c r="EO69" s="1">
        <v>0</v>
      </c>
      <c r="EP69" s="1">
        <v>1</v>
      </c>
      <c r="EQ69" s="1">
        <v>0</v>
      </c>
      <c r="ER69" s="1">
        <v>0</v>
      </c>
      <c r="ES69" s="1">
        <v>0</v>
      </c>
      <c r="ET69" s="1">
        <v>0</v>
      </c>
      <c r="EU69" s="1">
        <v>0</v>
      </c>
      <c r="EV69" s="1">
        <v>0</v>
      </c>
      <c r="EW69" s="1">
        <v>0</v>
      </c>
      <c r="EX69" s="1">
        <v>0</v>
      </c>
      <c r="EY69" s="1">
        <v>0</v>
      </c>
      <c r="EZ69" s="1">
        <v>0</v>
      </c>
      <c r="FA69" s="1">
        <v>0</v>
      </c>
      <c r="FB69" s="1">
        <v>0</v>
      </c>
      <c r="FC69" s="1">
        <v>0</v>
      </c>
      <c r="FD69" s="1">
        <v>0</v>
      </c>
      <c r="FE69" s="1">
        <f t="shared" ref="FE69:FE77" si="35">SUM(CI69:FD69)-1</f>
        <v>0</v>
      </c>
    </row>
    <row r="70" spans="5:161" ht="15.75" thickBot="1" x14ac:dyDescent="0.3">
      <c r="E70" s="1" t="s">
        <v>83</v>
      </c>
      <c r="F70" s="1">
        <v>3</v>
      </c>
      <c r="H70" s="1" t="s">
        <v>154</v>
      </c>
      <c r="I70" s="2">
        <v>34.044888999999998</v>
      </c>
      <c r="J70" s="2">
        <v>-6.8140169999999998</v>
      </c>
      <c r="K70" s="1">
        <f t="shared" si="3"/>
        <v>4.8182759018520391</v>
      </c>
      <c r="L70" s="1">
        <f t="shared" si="34"/>
        <v>4.070869938619297</v>
      </c>
      <c r="M70" s="1">
        <f t="shared" si="34"/>
        <v>3.5476372727133483</v>
      </c>
      <c r="N70" s="1">
        <f t="shared" si="34"/>
        <v>4.6616129587952706</v>
      </c>
      <c r="O70" s="1">
        <f t="shared" si="34"/>
        <v>4.5704768937181104</v>
      </c>
      <c r="P70" s="1">
        <f t="shared" si="34"/>
        <v>3.4663844027391129</v>
      </c>
      <c r="Q70" s="1">
        <f t="shared" si="34"/>
        <v>4.3942305229037126</v>
      </c>
      <c r="R70" s="1">
        <f t="shared" si="34"/>
        <v>2.6893921618249204</v>
      </c>
      <c r="S70" s="1">
        <f t="shared" si="34"/>
        <v>3.1662306336489641</v>
      </c>
      <c r="T70" s="1">
        <f t="shared" si="34"/>
        <v>3.8905182973635424</v>
      </c>
      <c r="U70" s="1">
        <f t="shared" si="34"/>
        <v>2.0769375042427227</v>
      </c>
      <c r="V70" s="1">
        <f t="shared" si="34"/>
        <v>3.8868410959649093</v>
      </c>
      <c r="W70" s="1">
        <f t="shared" si="34"/>
        <v>4.7495521691589584</v>
      </c>
      <c r="X70" s="1">
        <f t="shared" si="34"/>
        <v>3.0012297228239713</v>
      </c>
      <c r="Y70" s="1">
        <f t="shared" si="34"/>
        <v>2.4879091225018635</v>
      </c>
      <c r="Z70" s="1">
        <f t="shared" si="34"/>
        <v>3.1844475866400552</v>
      </c>
      <c r="AA70" s="1">
        <f t="shared" si="34"/>
        <v>3.1261983086893221</v>
      </c>
      <c r="AB70" s="1">
        <f t="shared" si="34"/>
        <v>2.4827300787971289</v>
      </c>
      <c r="AC70" s="1">
        <f t="shared" si="34"/>
        <v>2.8309118400420017</v>
      </c>
      <c r="AD70" s="1">
        <f t="shared" si="34"/>
        <v>3.8430839548726992</v>
      </c>
      <c r="AE70" s="1">
        <f t="shared" si="34"/>
        <v>1.7978535370665538</v>
      </c>
      <c r="AF70" s="1">
        <f t="shared" si="34"/>
        <v>1.2903843064956457</v>
      </c>
      <c r="AG70" s="1">
        <f t="shared" si="34"/>
        <v>1.3657484300229326</v>
      </c>
      <c r="AH70" s="1">
        <f t="shared" si="34"/>
        <v>1.7832826516110658</v>
      </c>
      <c r="AI70" s="1">
        <f t="shared" si="34"/>
        <v>1.6351364731926814</v>
      </c>
      <c r="AJ70" s="1">
        <f t="shared" si="34"/>
        <v>1.9928605731064075</v>
      </c>
      <c r="AK70" s="1">
        <f t="shared" si="34"/>
        <v>2.1928945044818944</v>
      </c>
      <c r="AL70" s="1">
        <f t="shared" si="34"/>
        <v>2.2332515118315723</v>
      </c>
      <c r="AM70" s="1">
        <f t="shared" si="34"/>
        <v>2.8100269753731903</v>
      </c>
      <c r="AN70" s="1">
        <f t="shared" si="34"/>
        <v>6.0090117046001845</v>
      </c>
      <c r="AO70" s="1">
        <f t="shared" si="34"/>
        <v>6.9978925732940498</v>
      </c>
      <c r="AP70" s="1">
        <f t="shared" si="34"/>
        <v>7.0569410463390545</v>
      </c>
      <c r="AQ70" s="1">
        <f t="shared" si="34"/>
        <v>5.7482577699136037</v>
      </c>
      <c r="AR70" s="1">
        <f t="shared" si="34"/>
        <v>2.0058417344065882</v>
      </c>
      <c r="AS70" s="1">
        <f t="shared" si="34"/>
        <v>2.215191613809842</v>
      </c>
      <c r="AT70" s="1">
        <f t="shared" si="34"/>
        <v>2.0974620191336868</v>
      </c>
      <c r="AU70" s="1">
        <f t="shared" si="34"/>
        <v>2.0707445575591126</v>
      </c>
      <c r="AV70" s="1">
        <f t="shared" si="34"/>
        <v>1.3267814917859275</v>
      </c>
      <c r="AW70" s="1">
        <f t="shared" si="34"/>
        <v>3.1236231026143355</v>
      </c>
      <c r="AX70" s="1">
        <f t="shared" si="34"/>
        <v>1.905133530510754</v>
      </c>
      <c r="AY70" s="1">
        <f t="shared" si="34"/>
        <v>1.4463142964100169</v>
      </c>
      <c r="AZ70" s="1">
        <f t="shared" si="34"/>
        <v>4.5737668576817372</v>
      </c>
      <c r="BA70" s="1">
        <f t="shared" si="34"/>
        <v>4.590110620508888</v>
      </c>
      <c r="BB70" s="1">
        <f t="shared" si="34"/>
        <v>4.7585171765956868</v>
      </c>
      <c r="BC70" s="1">
        <f t="shared" si="34"/>
        <v>4.1207259302399262</v>
      </c>
      <c r="BD70" s="1">
        <f t="shared" si="34"/>
        <v>5.2345440692753025</v>
      </c>
      <c r="BE70" s="1">
        <f t="shared" si="34"/>
        <v>4.4511189959234514</v>
      </c>
      <c r="BF70" s="1">
        <f t="shared" si="34"/>
        <v>0.92330474777026728</v>
      </c>
      <c r="BG70" s="1">
        <f t="shared" si="34"/>
        <v>0.67291939980901838</v>
      </c>
      <c r="BH70" s="1">
        <f t="shared" si="34"/>
        <v>1.8713649167280979</v>
      </c>
      <c r="BI70" s="1">
        <f t="shared" si="34"/>
        <v>1.0443410747380346</v>
      </c>
      <c r="BJ70" s="1">
        <f t="shared" si="34"/>
        <v>0.91875802253531158</v>
      </c>
      <c r="BK70" s="1">
        <f t="shared" si="34"/>
        <v>0.52791312011578673</v>
      </c>
      <c r="BL70" s="1">
        <f t="shared" si="34"/>
        <v>1.0920393277431026</v>
      </c>
      <c r="BM70" s="1">
        <f t="shared" si="34"/>
        <v>1.3176432721203382</v>
      </c>
      <c r="BN70" s="1">
        <f t="shared" si="34"/>
        <v>2.1298496297168295</v>
      </c>
      <c r="BO70" s="1">
        <f t="shared" si="34"/>
        <v>13.533123577081678</v>
      </c>
      <c r="BP70" s="1">
        <f t="shared" si="34"/>
        <v>14.197737827873572</v>
      </c>
      <c r="BQ70" s="1">
        <f t="shared" si="34"/>
        <v>1.7716401185173005</v>
      </c>
      <c r="BR70" s="1">
        <f t="shared" si="34"/>
        <v>2.207918920767507</v>
      </c>
      <c r="BS70" s="1">
        <f t="shared" si="34"/>
        <v>1.5355916305875958</v>
      </c>
      <c r="BT70" s="1">
        <f t="shared" si="34"/>
        <v>1.5936486057256787</v>
      </c>
      <c r="BU70" s="1">
        <f t="shared" si="34"/>
        <v>1.1632847209526957</v>
      </c>
      <c r="BV70" s="1">
        <f t="shared" si="34"/>
        <v>3.0129119934706669E-2</v>
      </c>
      <c r="BW70" s="5">
        <v>9999999</v>
      </c>
      <c r="BX70" s="1">
        <f t="shared" si="33"/>
        <v>0.30403316748371412</v>
      </c>
      <c r="BY70" s="1">
        <f t="shared" si="33"/>
        <v>0.32820967210763385</v>
      </c>
      <c r="BZ70" s="1">
        <f t="shared" si="33"/>
        <v>0.77184569192812036</v>
      </c>
      <c r="CA70" s="1">
        <f t="shared" si="33"/>
        <v>1.1174255552017782</v>
      </c>
      <c r="CB70" s="1">
        <f t="shared" si="33"/>
        <v>0.91245310116027345</v>
      </c>
      <c r="CC70" s="1">
        <f t="shared" si="33"/>
        <v>9.3914452225964116</v>
      </c>
      <c r="CD70" s="1">
        <f t="shared" si="33"/>
        <v>11.023918550905947</v>
      </c>
      <c r="CE70" s="1">
        <f t="shared" si="33"/>
        <v>8.6378372420938145</v>
      </c>
      <c r="CF70" s="1">
        <f t="shared" si="33"/>
        <v>8.7716574373723688</v>
      </c>
      <c r="CH70" s="1" t="s">
        <v>82</v>
      </c>
      <c r="CI70" s="1">
        <v>0</v>
      </c>
      <c r="CJ70" s="1">
        <v>0</v>
      </c>
      <c r="CK70" s="1">
        <v>0</v>
      </c>
      <c r="CL70" s="1">
        <v>0</v>
      </c>
      <c r="CM70" s="1">
        <v>0</v>
      </c>
      <c r="CN70" s="1">
        <v>0</v>
      </c>
      <c r="CO70" s="1">
        <v>0</v>
      </c>
      <c r="CP70" s="1">
        <v>0</v>
      </c>
      <c r="CQ70" s="1">
        <v>0</v>
      </c>
      <c r="CR70" s="1">
        <v>0</v>
      </c>
      <c r="CS70" s="1">
        <v>0</v>
      </c>
      <c r="CT70" s="1">
        <v>0</v>
      </c>
      <c r="CU70" s="1">
        <v>0</v>
      </c>
      <c r="CV70" s="1">
        <v>0</v>
      </c>
      <c r="CW70" s="1">
        <v>0</v>
      </c>
      <c r="CX70" s="1">
        <v>0</v>
      </c>
      <c r="CY70" s="1">
        <v>0</v>
      </c>
      <c r="CZ70" s="1">
        <v>0</v>
      </c>
      <c r="DA70" s="1">
        <v>0</v>
      </c>
      <c r="DB70" s="1">
        <v>0</v>
      </c>
      <c r="DC70" s="1">
        <v>0</v>
      </c>
      <c r="DD70" s="1">
        <v>0</v>
      </c>
      <c r="DE70" s="1">
        <v>0</v>
      </c>
      <c r="DF70" s="1">
        <v>0</v>
      </c>
      <c r="DG70" s="1">
        <v>0</v>
      </c>
      <c r="DH70" s="1">
        <v>0</v>
      </c>
      <c r="DI70" s="1">
        <v>0</v>
      </c>
      <c r="DJ70" s="1">
        <v>0</v>
      </c>
      <c r="DK70" s="1">
        <v>0</v>
      </c>
      <c r="DL70" s="1">
        <v>0</v>
      </c>
      <c r="DM70" s="1">
        <v>0</v>
      </c>
      <c r="DN70" s="1">
        <v>0</v>
      </c>
      <c r="DO70" s="1">
        <v>0</v>
      </c>
      <c r="DP70" s="1">
        <v>0</v>
      </c>
      <c r="DQ70" s="1">
        <v>0</v>
      </c>
      <c r="DR70" s="1">
        <v>0</v>
      </c>
      <c r="DS70" s="1">
        <v>0</v>
      </c>
      <c r="DT70" s="1">
        <v>1</v>
      </c>
      <c r="DU70" s="1">
        <v>0</v>
      </c>
      <c r="DV70" s="1">
        <v>0</v>
      </c>
      <c r="DW70" s="1">
        <v>0</v>
      </c>
      <c r="DX70" s="1">
        <v>0</v>
      </c>
      <c r="DY70" s="1">
        <v>0</v>
      </c>
      <c r="DZ70" s="1">
        <v>0</v>
      </c>
      <c r="EA70" s="1">
        <v>0</v>
      </c>
      <c r="EB70" s="1">
        <v>0</v>
      </c>
      <c r="EC70" s="1">
        <v>0</v>
      </c>
      <c r="ED70" s="1">
        <v>0</v>
      </c>
      <c r="EE70" s="1">
        <v>0</v>
      </c>
      <c r="EF70" s="1">
        <v>0</v>
      </c>
      <c r="EG70" s="1">
        <v>0</v>
      </c>
      <c r="EH70" s="1">
        <v>0</v>
      </c>
      <c r="EI70" s="1">
        <v>0</v>
      </c>
      <c r="EJ70" s="1">
        <v>0</v>
      </c>
      <c r="EK70" s="1">
        <v>0</v>
      </c>
      <c r="EL70" s="1">
        <v>0</v>
      </c>
      <c r="EM70" s="1">
        <v>0</v>
      </c>
      <c r="EN70" s="1">
        <v>0</v>
      </c>
      <c r="EO70" s="1">
        <v>0</v>
      </c>
      <c r="EP70" s="1">
        <v>0</v>
      </c>
      <c r="EQ70" s="1">
        <v>0</v>
      </c>
      <c r="ER70" s="1">
        <v>0</v>
      </c>
      <c r="ES70" s="1">
        <v>0</v>
      </c>
      <c r="ET70" s="1">
        <v>0</v>
      </c>
      <c r="EU70" s="1">
        <v>0</v>
      </c>
      <c r="EV70" s="1">
        <v>0</v>
      </c>
      <c r="EW70" s="1">
        <v>0</v>
      </c>
      <c r="EX70" s="1">
        <v>0</v>
      </c>
      <c r="EY70" s="1">
        <v>0</v>
      </c>
      <c r="EZ70" s="1">
        <v>0</v>
      </c>
      <c r="FA70" s="1">
        <v>0</v>
      </c>
      <c r="FB70" s="1">
        <v>0</v>
      </c>
      <c r="FC70" s="1">
        <v>0</v>
      </c>
      <c r="FD70" s="1">
        <v>0</v>
      </c>
      <c r="FE70" s="1">
        <f t="shared" si="35"/>
        <v>0</v>
      </c>
    </row>
    <row r="71" spans="5:161" ht="15.75" thickBot="1" x14ac:dyDescent="0.3">
      <c r="E71" s="1" t="s">
        <v>84</v>
      </c>
      <c r="F71" s="1">
        <v>11</v>
      </c>
      <c r="H71" s="1" t="s">
        <v>155</v>
      </c>
      <c r="I71" s="2">
        <v>33.74792995</v>
      </c>
      <c r="J71" s="2">
        <v>-6.8792204474033296</v>
      </c>
      <c r="K71" s="1">
        <f t="shared" ref="K71:Z79" si="36">SQRT(POWER($I71-K$4,2)+POWER(K$5-$J71,2))</f>
        <v>4.929659697769738</v>
      </c>
      <c r="L71" s="1">
        <f t="shared" si="36"/>
        <v>4.22651144417219</v>
      </c>
      <c r="M71" s="1">
        <f t="shared" si="36"/>
        <v>3.6983932606612044</v>
      </c>
      <c r="N71" s="1">
        <f t="shared" si="36"/>
        <v>4.7526581804660193</v>
      </c>
      <c r="O71" s="1">
        <f t="shared" si="36"/>
        <v>4.7000242561559347</v>
      </c>
      <c r="P71" s="1">
        <f t="shared" si="36"/>
        <v>3.5590723750124882</v>
      </c>
      <c r="Q71" s="1">
        <f t="shared" si="36"/>
        <v>4.3763254404971503</v>
      </c>
      <c r="R71" s="1">
        <f t="shared" si="36"/>
        <v>2.3948473926725438</v>
      </c>
      <c r="S71" s="1">
        <f t="shared" si="36"/>
        <v>2.8948477075467127</v>
      </c>
      <c r="T71" s="1">
        <f t="shared" si="36"/>
        <v>3.6523398808896559</v>
      </c>
      <c r="U71" s="1">
        <f t="shared" si="36"/>
        <v>1.773859850775674</v>
      </c>
      <c r="V71" s="1">
        <f t="shared" si="36"/>
        <v>3.6484366611720391</v>
      </c>
      <c r="W71" s="1">
        <f t="shared" si="36"/>
        <v>4.876469610856887</v>
      </c>
      <c r="X71" s="1">
        <f t="shared" si="36"/>
        <v>2.7798598382739144</v>
      </c>
      <c r="Y71" s="1">
        <f t="shared" si="36"/>
        <v>2.2337240127370102</v>
      </c>
      <c r="Z71" s="1">
        <f t="shared" si="36"/>
        <v>3.047440038085822</v>
      </c>
      <c r="AA71" s="1">
        <f t="shared" si="34"/>
        <v>2.8279146575235328</v>
      </c>
      <c r="AB71" s="1">
        <f t="shared" si="34"/>
        <v>2.3909073942209416</v>
      </c>
      <c r="AC71" s="1">
        <f t="shared" si="34"/>
        <v>2.602883693660877</v>
      </c>
      <c r="AD71" s="1">
        <f t="shared" si="34"/>
        <v>3.5751384885144968</v>
      </c>
      <c r="AE71" s="1">
        <f t="shared" si="34"/>
        <v>1.8849623595658849</v>
      </c>
      <c r="AF71" s="1">
        <f t="shared" si="34"/>
        <v>1.3555051068456769</v>
      </c>
      <c r="AG71" s="1">
        <f t="shared" si="34"/>
        <v>1.3872331153054869</v>
      </c>
      <c r="AH71" s="1">
        <f t="shared" si="34"/>
        <v>1.7854586056153408</v>
      </c>
      <c r="AI71" s="1">
        <f t="shared" si="34"/>
        <v>1.7333657013457782</v>
      </c>
      <c r="AJ71" s="1">
        <f t="shared" si="34"/>
        <v>2.0473317398134649</v>
      </c>
      <c r="AK71" s="1">
        <f t="shared" si="34"/>
        <v>2.183697438116988</v>
      </c>
      <c r="AL71" s="1">
        <f t="shared" si="34"/>
        <v>2.3784507460740847</v>
      </c>
      <c r="AM71" s="1">
        <f t="shared" si="34"/>
        <v>2.9093590681811361</v>
      </c>
      <c r="AN71" s="1">
        <f t="shared" si="34"/>
        <v>5.724801899125656</v>
      </c>
      <c r="AO71" s="1">
        <f t="shared" si="34"/>
        <v>6.6957466483185684</v>
      </c>
      <c r="AP71" s="1">
        <f t="shared" si="34"/>
        <v>6.7826106511166406</v>
      </c>
      <c r="AQ71" s="1">
        <f t="shared" si="34"/>
        <v>5.4704638624560395</v>
      </c>
      <c r="AR71" s="1">
        <f t="shared" si="34"/>
        <v>2.2970939469226002</v>
      </c>
      <c r="AS71" s="1">
        <f t="shared" si="34"/>
        <v>2.4833522169456912</v>
      </c>
      <c r="AT71" s="1">
        <f t="shared" si="34"/>
        <v>2.3633514330712524</v>
      </c>
      <c r="AU71" s="1">
        <f t="shared" si="34"/>
        <v>2.3558287002121165</v>
      </c>
      <c r="AV71" s="1">
        <f t="shared" si="34"/>
        <v>1.6193232408358433</v>
      </c>
      <c r="AW71" s="1">
        <f t="shared" si="34"/>
        <v>3.3073197988017227</v>
      </c>
      <c r="AX71" s="1">
        <f t="shared" si="34"/>
        <v>2.1425977952126054</v>
      </c>
      <c r="AY71" s="1">
        <f t="shared" si="34"/>
        <v>1.6709069612758467</v>
      </c>
      <c r="AZ71" s="1">
        <f t="shared" si="34"/>
        <v>4.3006472683017067</v>
      </c>
      <c r="BA71" s="1">
        <f t="shared" si="34"/>
        <v>4.3144601961236031</v>
      </c>
      <c r="BB71" s="1">
        <f t="shared" si="34"/>
        <v>4.4732343861031296</v>
      </c>
      <c r="BC71" s="1">
        <f t="shared" si="34"/>
        <v>3.8318491097986698</v>
      </c>
      <c r="BD71" s="1">
        <f t="shared" si="34"/>
        <v>4.9528911682414583</v>
      </c>
      <c r="BE71" s="1">
        <f t="shared" si="34"/>
        <v>4.1474383245454733</v>
      </c>
      <c r="BF71" s="1">
        <f t="shared" si="34"/>
        <v>0.75652676992441736</v>
      </c>
      <c r="BG71" s="1">
        <f t="shared" si="34"/>
        <v>0.51276162051722762</v>
      </c>
      <c r="BH71" s="1">
        <f t="shared" si="34"/>
        <v>1.700805965826413</v>
      </c>
      <c r="BI71" s="1">
        <f t="shared" si="34"/>
        <v>0.82638548579436177</v>
      </c>
      <c r="BJ71" s="1">
        <f t="shared" si="34"/>
        <v>0.7035322916541803</v>
      </c>
      <c r="BK71" s="1">
        <f t="shared" si="34"/>
        <v>0.27680772906323836</v>
      </c>
      <c r="BL71" s="1">
        <f t="shared" si="34"/>
        <v>0.85049713962926787</v>
      </c>
      <c r="BM71" s="1">
        <f t="shared" si="34"/>
        <v>1.0508932845008723</v>
      </c>
      <c r="BN71" s="1">
        <f t="shared" si="34"/>
        <v>1.8949217579856081</v>
      </c>
      <c r="BO71" s="1">
        <f t="shared" si="34"/>
        <v>13.258071503031664</v>
      </c>
      <c r="BP71" s="1">
        <f t="shared" si="34"/>
        <v>13.912669110288711</v>
      </c>
      <c r="BQ71" s="1">
        <f t="shared" si="34"/>
        <v>1.5083791524633001</v>
      </c>
      <c r="BR71" s="1">
        <f t="shared" si="34"/>
        <v>1.9301699033485689</v>
      </c>
      <c r="BS71" s="1">
        <f t="shared" si="34"/>
        <v>1.2383446428807803</v>
      </c>
      <c r="BT71" s="1">
        <f t="shared" si="34"/>
        <v>1.4569353315047029</v>
      </c>
      <c r="BU71" s="1">
        <f t="shared" si="34"/>
        <v>0.86294418898657232</v>
      </c>
      <c r="BV71" s="1">
        <f t="shared" si="34"/>
        <v>0.27812719016905701</v>
      </c>
      <c r="BW71" s="1">
        <f t="shared" si="34"/>
        <v>0.30403316748371412</v>
      </c>
      <c r="BX71" s="5">
        <v>9999999</v>
      </c>
      <c r="BY71" s="1">
        <f t="shared" si="33"/>
        <v>0.60202137703415071</v>
      </c>
      <c r="BZ71" s="1">
        <f t="shared" si="33"/>
        <v>0.81080895633581618</v>
      </c>
      <c r="CA71" s="1">
        <f t="shared" si="33"/>
        <v>1.2620104036461413</v>
      </c>
      <c r="CB71" s="1">
        <f t="shared" si="33"/>
        <v>1.0808944568339749</v>
      </c>
      <c r="CC71" s="1">
        <f t="shared" si="33"/>
        <v>9.1305632141970268</v>
      </c>
      <c r="CD71" s="1">
        <f t="shared" si="33"/>
        <v>10.766432649403402</v>
      </c>
      <c r="CE71" s="1">
        <f t="shared" si="33"/>
        <v>8.3834373835211924</v>
      </c>
      <c r="CF71" s="1">
        <f t="shared" si="33"/>
        <v>8.4889723115160045</v>
      </c>
      <c r="CH71" s="1" t="s">
        <v>83</v>
      </c>
      <c r="CI71" s="1">
        <v>0</v>
      </c>
      <c r="CJ71" s="1">
        <v>0</v>
      </c>
      <c r="CK71" s="1">
        <v>0</v>
      </c>
      <c r="CL71" s="1">
        <v>0</v>
      </c>
      <c r="CM71" s="1">
        <v>0</v>
      </c>
      <c r="CN71" s="1">
        <v>0</v>
      </c>
      <c r="CO71" s="1">
        <v>0</v>
      </c>
      <c r="CP71" s="1">
        <v>0</v>
      </c>
      <c r="CQ71" s="1">
        <v>0</v>
      </c>
      <c r="CR71" s="1">
        <v>0</v>
      </c>
      <c r="CS71" s="1">
        <v>0</v>
      </c>
      <c r="CT71" s="1">
        <v>0</v>
      </c>
      <c r="CU71" s="1">
        <v>0</v>
      </c>
      <c r="CV71" s="1">
        <v>0</v>
      </c>
      <c r="CW71" s="1">
        <v>0</v>
      </c>
      <c r="CX71" s="1">
        <v>0</v>
      </c>
      <c r="CY71" s="1">
        <v>0</v>
      </c>
      <c r="CZ71" s="1">
        <v>0</v>
      </c>
      <c r="DA71" s="1">
        <v>0</v>
      </c>
      <c r="DB71" s="1">
        <v>0</v>
      </c>
      <c r="DC71" s="1">
        <v>0</v>
      </c>
      <c r="DD71" s="1">
        <v>0</v>
      </c>
      <c r="DE71" s="1">
        <v>0</v>
      </c>
      <c r="DF71" s="1">
        <v>0</v>
      </c>
      <c r="DG71" s="1">
        <v>0</v>
      </c>
      <c r="DH71" s="1">
        <v>0</v>
      </c>
      <c r="DI71" s="1">
        <v>0</v>
      </c>
      <c r="DJ71" s="1">
        <v>0</v>
      </c>
      <c r="DK71" s="1">
        <v>0</v>
      </c>
      <c r="DL71" s="1">
        <v>0</v>
      </c>
      <c r="DM71" s="1">
        <v>0</v>
      </c>
      <c r="DN71" s="1">
        <v>0</v>
      </c>
      <c r="DO71" s="1">
        <v>0</v>
      </c>
      <c r="DP71" s="1">
        <v>0</v>
      </c>
      <c r="DQ71" s="1">
        <v>0</v>
      </c>
      <c r="DR71" s="1">
        <v>0</v>
      </c>
      <c r="DS71" s="1">
        <v>0</v>
      </c>
      <c r="DT71" s="1">
        <v>0</v>
      </c>
      <c r="DU71" s="1">
        <v>0</v>
      </c>
      <c r="DV71" s="1">
        <v>0</v>
      </c>
      <c r="DW71" s="1">
        <v>0</v>
      </c>
      <c r="DX71" s="1">
        <v>0</v>
      </c>
      <c r="DY71" s="1">
        <v>0</v>
      </c>
      <c r="DZ71" s="1">
        <v>0</v>
      </c>
      <c r="EA71" s="1">
        <v>0</v>
      </c>
      <c r="EB71" s="1">
        <v>0</v>
      </c>
      <c r="EC71" s="1">
        <v>0</v>
      </c>
      <c r="ED71" s="1">
        <v>0</v>
      </c>
      <c r="EE71" s="1">
        <v>0</v>
      </c>
      <c r="EF71" s="1">
        <v>0</v>
      </c>
      <c r="EG71" s="1">
        <v>0</v>
      </c>
      <c r="EH71" s="1">
        <v>0</v>
      </c>
      <c r="EI71" s="1">
        <v>0</v>
      </c>
      <c r="EJ71" s="1">
        <v>0</v>
      </c>
      <c r="EK71" s="1">
        <v>0</v>
      </c>
      <c r="EL71" s="1">
        <v>0</v>
      </c>
      <c r="EM71" s="1">
        <v>0</v>
      </c>
      <c r="EN71" s="1">
        <v>0</v>
      </c>
      <c r="EO71" s="1">
        <v>0</v>
      </c>
      <c r="EP71" s="1">
        <v>0</v>
      </c>
      <c r="EQ71" s="1">
        <v>0</v>
      </c>
      <c r="ER71" s="1">
        <v>0</v>
      </c>
      <c r="ES71" s="1">
        <v>0</v>
      </c>
      <c r="ET71" s="1">
        <v>0</v>
      </c>
      <c r="EU71" s="1">
        <v>0</v>
      </c>
      <c r="EV71" s="1">
        <v>0</v>
      </c>
      <c r="EW71" s="1">
        <v>0</v>
      </c>
      <c r="EX71" s="1">
        <v>0</v>
      </c>
      <c r="EY71" s="1">
        <v>0</v>
      </c>
      <c r="EZ71" s="1">
        <v>1</v>
      </c>
      <c r="FA71" s="1">
        <v>0</v>
      </c>
      <c r="FB71" s="1">
        <v>0</v>
      </c>
      <c r="FC71" s="1">
        <v>0</v>
      </c>
      <c r="FD71" s="1">
        <v>0</v>
      </c>
      <c r="FE71" s="1">
        <f t="shared" si="35"/>
        <v>0</v>
      </c>
    </row>
    <row r="72" spans="5:161" ht="15.75" thickBot="1" x14ac:dyDescent="0.3">
      <c r="E72" s="1" t="s">
        <v>85</v>
      </c>
      <c r="F72" s="1">
        <v>9</v>
      </c>
      <c r="H72" s="1" t="s">
        <v>156</v>
      </c>
      <c r="I72" s="2">
        <v>34.264569999999999</v>
      </c>
      <c r="J72" s="2">
        <v>-6.5701689999999999</v>
      </c>
      <c r="K72" s="1">
        <f t="shared" si="36"/>
        <v>4.5518665012572974</v>
      </c>
      <c r="L72" s="1">
        <f t="shared" ref="L72:BW75" si="37">SQRT(POWER($I72-L$4,2)+POWER(L$5-$J72,2))</f>
        <v>3.7770865053579161</v>
      </c>
      <c r="M72" s="1">
        <f t="shared" si="37"/>
        <v>3.2579985813066279</v>
      </c>
      <c r="N72" s="1">
        <f t="shared" si="37"/>
        <v>4.4104294858461346</v>
      </c>
      <c r="O72" s="1">
        <f t="shared" si="37"/>
        <v>4.2921360201170629</v>
      </c>
      <c r="P72" s="1">
        <f t="shared" si="37"/>
        <v>3.2180602584494902</v>
      </c>
      <c r="Q72" s="1">
        <f t="shared" si="37"/>
        <v>4.2384149312204151</v>
      </c>
      <c r="R72" s="1">
        <f t="shared" si="37"/>
        <v>2.9960823101593395</v>
      </c>
      <c r="S72" s="1">
        <f t="shared" si="37"/>
        <v>3.4898545551596745</v>
      </c>
      <c r="T72" s="1">
        <f t="shared" si="37"/>
        <v>4.2186358951029321</v>
      </c>
      <c r="U72" s="1">
        <f t="shared" si="37"/>
        <v>2.3632700562739326</v>
      </c>
      <c r="V72" s="1">
        <f t="shared" si="37"/>
        <v>4.214967325307434</v>
      </c>
      <c r="W72" s="1">
        <f t="shared" si="37"/>
        <v>4.472620366876555</v>
      </c>
      <c r="X72" s="1">
        <f t="shared" si="37"/>
        <v>3.3280051651058069</v>
      </c>
      <c r="Y72" s="1">
        <f t="shared" si="37"/>
        <v>2.8153031503305281</v>
      </c>
      <c r="Z72" s="1">
        <f t="shared" si="37"/>
        <v>3.1650189141232441</v>
      </c>
      <c r="AA72" s="1">
        <f t="shared" si="37"/>
        <v>3.3616916584727079</v>
      </c>
      <c r="AB72" s="1">
        <f t="shared" si="37"/>
        <v>2.4206730691510172</v>
      </c>
      <c r="AC72" s="1">
        <f t="shared" si="37"/>
        <v>2.9334104874062548</v>
      </c>
      <c r="AD72" s="1">
        <f t="shared" si="37"/>
        <v>4.0042028903547076</v>
      </c>
      <c r="AE72" s="1">
        <f t="shared" si="37"/>
        <v>1.5708928336180408</v>
      </c>
      <c r="AF72" s="1">
        <f t="shared" si="37"/>
        <v>1.1009936404626723</v>
      </c>
      <c r="AG72" s="1">
        <f t="shared" si="37"/>
        <v>1.2168593529550475</v>
      </c>
      <c r="AH72" s="1">
        <f t="shared" si="37"/>
        <v>1.6379215959092777</v>
      </c>
      <c r="AI72" s="1">
        <f t="shared" si="37"/>
        <v>1.4019651126757753</v>
      </c>
      <c r="AJ72" s="1">
        <f t="shared" si="37"/>
        <v>1.7916194734019277</v>
      </c>
      <c r="AK72" s="1">
        <f t="shared" si="37"/>
        <v>2.0491901698389361</v>
      </c>
      <c r="AL72" s="1">
        <f t="shared" si="37"/>
        <v>1.9534731703970243</v>
      </c>
      <c r="AM72" s="1">
        <f t="shared" si="37"/>
        <v>2.560296310283245</v>
      </c>
      <c r="AN72" s="1">
        <f t="shared" si="37"/>
        <v>6.326156782372709</v>
      </c>
      <c r="AO72" s="1">
        <f t="shared" si="37"/>
        <v>7.2857412015586736</v>
      </c>
      <c r="AP72" s="1">
        <f t="shared" si="37"/>
        <v>7.379796344297989</v>
      </c>
      <c r="AQ72" s="1">
        <f t="shared" si="37"/>
        <v>6.0693994843437133</v>
      </c>
      <c r="AR72" s="1">
        <f t="shared" si="37"/>
        <v>1.6961579626616221</v>
      </c>
      <c r="AS72" s="1">
        <f t="shared" si="37"/>
        <v>1.8888769233071931</v>
      </c>
      <c r="AT72" s="1">
        <f t="shared" si="37"/>
        <v>1.7705255311965877</v>
      </c>
      <c r="AU72" s="1">
        <f t="shared" si="37"/>
        <v>1.7538387733270477</v>
      </c>
      <c r="AV72" s="1">
        <f t="shared" si="37"/>
        <v>1.0199194236346756</v>
      </c>
      <c r="AW72" s="1">
        <f t="shared" si="37"/>
        <v>2.8161989944293717</v>
      </c>
      <c r="AX72" s="1">
        <f t="shared" si="37"/>
        <v>1.5789629805269549</v>
      </c>
      <c r="AY72" s="1">
        <f t="shared" si="37"/>
        <v>1.1254529274674265</v>
      </c>
      <c r="AZ72" s="1">
        <f t="shared" si="37"/>
        <v>4.8969540999083581</v>
      </c>
      <c r="BA72" s="1">
        <f t="shared" si="37"/>
        <v>4.9122104384564897</v>
      </c>
      <c r="BB72" s="1">
        <f t="shared" si="37"/>
        <v>5.0747955264677156</v>
      </c>
      <c r="BC72" s="1">
        <f t="shared" si="37"/>
        <v>4.433860236148802</v>
      </c>
      <c r="BD72" s="1">
        <f t="shared" si="37"/>
        <v>5.553421928196367</v>
      </c>
      <c r="BE72" s="1">
        <f t="shared" si="37"/>
        <v>4.729942265785831</v>
      </c>
      <c r="BF72" s="1">
        <f t="shared" si="37"/>
        <v>1.2454634747192375</v>
      </c>
      <c r="BG72" s="1">
        <f t="shared" si="37"/>
        <v>0.99723576943916858</v>
      </c>
      <c r="BH72" s="1">
        <f t="shared" si="37"/>
        <v>2.1882847871270932</v>
      </c>
      <c r="BI72" s="1">
        <f t="shared" si="37"/>
        <v>1.3723253754303288</v>
      </c>
      <c r="BJ72" s="1">
        <f t="shared" si="37"/>
        <v>1.2467939032582718</v>
      </c>
      <c r="BK72" s="1">
        <f t="shared" si="37"/>
        <v>0.8515727159371459</v>
      </c>
      <c r="BL72" s="1">
        <f t="shared" si="37"/>
        <v>1.4198154612650933</v>
      </c>
      <c r="BM72" s="1">
        <f t="shared" si="37"/>
        <v>1.6416292435056685</v>
      </c>
      <c r="BN72" s="1">
        <f t="shared" si="37"/>
        <v>2.4580040592604231</v>
      </c>
      <c r="BO72" s="1">
        <f t="shared" si="37"/>
        <v>13.855806054801945</v>
      </c>
      <c r="BP72" s="1">
        <f t="shared" si="37"/>
        <v>14.514318787552874</v>
      </c>
      <c r="BQ72" s="1">
        <f t="shared" si="37"/>
        <v>1.9425170129718299</v>
      </c>
      <c r="BR72" s="1">
        <f t="shared" si="37"/>
        <v>2.3983128382481378</v>
      </c>
      <c r="BS72" s="1">
        <f t="shared" si="37"/>
        <v>1.7776284302490624</v>
      </c>
      <c r="BT72" s="1">
        <f t="shared" si="37"/>
        <v>1.6051910806097831</v>
      </c>
      <c r="BU72" s="1">
        <f t="shared" si="37"/>
        <v>1.4201337213815444</v>
      </c>
      <c r="BV72" s="1">
        <f t="shared" si="37"/>
        <v>0.35816783112144496</v>
      </c>
      <c r="BW72" s="1">
        <f t="shared" si="37"/>
        <v>0.32820967210763385</v>
      </c>
      <c r="BX72" s="1">
        <f t="shared" si="33"/>
        <v>0.60202137703415071</v>
      </c>
      <c r="BY72" s="5">
        <v>9999999</v>
      </c>
      <c r="BZ72" s="1">
        <f t="shared" si="33"/>
        <v>0.66043293238980771</v>
      </c>
      <c r="CA72" s="1">
        <f t="shared" si="33"/>
        <v>0.85958235974745323</v>
      </c>
      <c r="CB72" s="1">
        <f t="shared" si="33"/>
        <v>0.64293312087650256</v>
      </c>
      <c r="CC72" s="1">
        <f t="shared" si="33"/>
        <v>9.7183592178997777</v>
      </c>
      <c r="CD72" s="1">
        <f t="shared" si="33"/>
        <v>11.351390374674411</v>
      </c>
      <c r="CE72" s="1">
        <f t="shared" si="33"/>
        <v>8.965626352786261</v>
      </c>
      <c r="CF72" s="1">
        <f t="shared" si="33"/>
        <v>9.0899631414797835</v>
      </c>
      <c r="CH72" s="1" t="s">
        <v>84</v>
      </c>
      <c r="CI72" s="1">
        <v>0</v>
      </c>
      <c r="CJ72" s="1">
        <v>0</v>
      </c>
      <c r="CK72" s="1">
        <v>0</v>
      </c>
      <c r="CL72" s="1">
        <v>0</v>
      </c>
      <c r="CM72" s="1">
        <v>0</v>
      </c>
      <c r="CN72" s="1">
        <v>0</v>
      </c>
      <c r="CO72" s="1">
        <v>0</v>
      </c>
      <c r="CP72" s="1">
        <v>0</v>
      </c>
      <c r="CQ72" s="1">
        <v>0</v>
      </c>
      <c r="CR72" s="1">
        <v>0</v>
      </c>
      <c r="CS72" s="1">
        <v>0</v>
      </c>
      <c r="CT72" s="1">
        <v>0</v>
      </c>
      <c r="CU72" s="1">
        <v>1</v>
      </c>
      <c r="CV72" s="1">
        <v>0</v>
      </c>
      <c r="CW72" s="1">
        <v>0</v>
      </c>
      <c r="CX72" s="1">
        <v>0</v>
      </c>
      <c r="CY72" s="1">
        <v>0</v>
      </c>
      <c r="CZ72" s="1">
        <v>0</v>
      </c>
      <c r="DA72" s="1">
        <v>0</v>
      </c>
      <c r="DB72" s="1">
        <v>0</v>
      </c>
      <c r="DC72" s="1">
        <v>0</v>
      </c>
      <c r="DD72" s="1">
        <v>0</v>
      </c>
      <c r="DE72" s="1">
        <v>0</v>
      </c>
      <c r="DF72" s="1">
        <v>0</v>
      </c>
      <c r="DG72" s="1">
        <v>0</v>
      </c>
      <c r="DH72" s="1">
        <v>0</v>
      </c>
      <c r="DI72" s="1">
        <v>0</v>
      </c>
      <c r="DJ72" s="1">
        <v>0</v>
      </c>
      <c r="DK72" s="1">
        <v>0</v>
      </c>
      <c r="DL72" s="1">
        <v>0</v>
      </c>
      <c r="DM72" s="1">
        <v>0</v>
      </c>
      <c r="DN72" s="1">
        <v>0</v>
      </c>
      <c r="DO72" s="1">
        <v>0</v>
      </c>
      <c r="DP72" s="1">
        <v>0</v>
      </c>
      <c r="DQ72" s="1">
        <v>0</v>
      </c>
      <c r="DR72" s="1">
        <v>0</v>
      </c>
      <c r="DS72" s="1">
        <v>0</v>
      </c>
      <c r="DT72" s="1">
        <v>0</v>
      </c>
      <c r="DU72" s="1">
        <v>0</v>
      </c>
      <c r="DV72" s="1">
        <v>0</v>
      </c>
      <c r="DW72" s="1">
        <v>0</v>
      </c>
      <c r="DX72" s="1">
        <v>0</v>
      </c>
      <c r="DY72" s="1">
        <v>0</v>
      </c>
      <c r="DZ72" s="1">
        <v>0</v>
      </c>
      <c r="EA72" s="1">
        <v>0</v>
      </c>
      <c r="EB72" s="1">
        <v>0</v>
      </c>
      <c r="EC72" s="1">
        <v>0</v>
      </c>
      <c r="ED72" s="1">
        <v>0</v>
      </c>
      <c r="EE72" s="1">
        <v>0</v>
      </c>
      <c r="EF72" s="1">
        <v>0</v>
      </c>
      <c r="EG72" s="1">
        <v>0</v>
      </c>
      <c r="EH72" s="1">
        <v>0</v>
      </c>
      <c r="EI72" s="1">
        <v>0</v>
      </c>
      <c r="EJ72" s="1">
        <v>0</v>
      </c>
      <c r="EK72" s="1">
        <v>0</v>
      </c>
      <c r="EL72" s="1">
        <v>0</v>
      </c>
      <c r="EM72" s="1">
        <v>0</v>
      </c>
      <c r="EN72" s="1">
        <v>0</v>
      </c>
      <c r="EO72" s="1">
        <v>0</v>
      </c>
      <c r="EP72" s="1">
        <v>0</v>
      </c>
      <c r="EQ72" s="1">
        <v>0</v>
      </c>
      <c r="ER72" s="1">
        <v>0</v>
      </c>
      <c r="ES72" s="1">
        <v>0</v>
      </c>
      <c r="ET72" s="1">
        <v>0</v>
      </c>
      <c r="EU72" s="1">
        <v>0</v>
      </c>
      <c r="EV72" s="1">
        <v>0</v>
      </c>
      <c r="EW72" s="1">
        <v>0</v>
      </c>
      <c r="EX72" s="1">
        <v>0</v>
      </c>
      <c r="EY72" s="1">
        <v>0</v>
      </c>
      <c r="EZ72" s="1">
        <v>0</v>
      </c>
      <c r="FA72" s="1">
        <v>0</v>
      </c>
      <c r="FB72" s="1">
        <v>0</v>
      </c>
      <c r="FC72" s="1">
        <v>0</v>
      </c>
      <c r="FD72" s="1">
        <v>0</v>
      </c>
      <c r="FE72" s="1">
        <f t="shared" si="35"/>
        <v>0</v>
      </c>
    </row>
    <row r="73" spans="5:161" ht="15.75" thickBot="1" x14ac:dyDescent="0.3">
      <c r="E73" s="1" t="s">
        <v>86</v>
      </c>
      <c r="F73" s="1">
        <v>9</v>
      </c>
      <c r="H73" s="1" t="s">
        <v>157</v>
      </c>
      <c r="I73" s="2">
        <v>33.830286999999998</v>
      </c>
      <c r="J73" s="2">
        <v>-6.0726050000000003</v>
      </c>
      <c r="K73" s="1">
        <f t="shared" si="36"/>
        <v>4.1224404820839142</v>
      </c>
      <c r="L73" s="1">
        <f t="shared" si="37"/>
        <v>3.4469290612970664</v>
      </c>
      <c r="M73" s="1">
        <f t="shared" si="37"/>
        <v>2.9164690401938098</v>
      </c>
      <c r="N73" s="1">
        <f t="shared" si="37"/>
        <v>3.941988903512033</v>
      </c>
      <c r="O73" s="1">
        <f t="shared" si="37"/>
        <v>3.9004597528068339</v>
      </c>
      <c r="P73" s="1">
        <f t="shared" si="37"/>
        <v>2.7488302714283761</v>
      </c>
      <c r="Q73" s="1">
        <f t="shared" si="37"/>
        <v>3.6227490186894391</v>
      </c>
      <c r="R73" s="1">
        <f t="shared" si="37"/>
        <v>2.9211018054342643</v>
      </c>
      <c r="S73" s="1">
        <f t="shared" si="37"/>
        <v>3.5261160125105251</v>
      </c>
      <c r="T73" s="1">
        <f t="shared" si="37"/>
        <v>4.3617894512438946</v>
      </c>
      <c r="U73" s="1">
        <f t="shared" si="37"/>
        <v>2.2212592892037599</v>
      </c>
      <c r="V73" s="1">
        <f t="shared" si="37"/>
        <v>4.3574709924341777</v>
      </c>
      <c r="W73" s="1">
        <f t="shared" si="37"/>
        <v>4.0753360503291729</v>
      </c>
      <c r="X73" s="1">
        <f t="shared" si="37"/>
        <v>3.5245599098199047</v>
      </c>
      <c r="Y73" s="1">
        <f t="shared" si="37"/>
        <v>2.9259834571904184</v>
      </c>
      <c r="Z73" s="1">
        <f t="shared" si="37"/>
        <v>2.5098437634431514</v>
      </c>
      <c r="AA73" s="1">
        <f t="shared" si="37"/>
        <v>3.0284359260119711</v>
      </c>
      <c r="AB73" s="1">
        <f t="shared" si="37"/>
        <v>1.7602478850616474</v>
      </c>
      <c r="AC73" s="1">
        <f t="shared" si="37"/>
        <v>2.3715903491813246</v>
      </c>
      <c r="AD73" s="1">
        <f t="shared" si="37"/>
        <v>3.5101585873945913</v>
      </c>
      <c r="AE73" s="1">
        <f t="shared" si="37"/>
        <v>1.0759985057251344</v>
      </c>
      <c r="AF73" s="1">
        <f t="shared" si="37"/>
        <v>0.54477965598051725</v>
      </c>
      <c r="AG73" s="1">
        <f t="shared" si="37"/>
        <v>0.59448014162806628</v>
      </c>
      <c r="AH73" s="1">
        <f t="shared" si="37"/>
        <v>1.0115441868415824</v>
      </c>
      <c r="AI73" s="1">
        <f t="shared" si="37"/>
        <v>0.92945936740720536</v>
      </c>
      <c r="AJ73" s="1">
        <f t="shared" si="37"/>
        <v>1.2392807170621192</v>
      </c>
      <c r="AK73" s="1">
        <f t="shared" si="37"/>
        <v>1.4217396253048595</v>
      </c>
      <c r="AL73" s="1">
        <f t="shared" si="37"/>
        <v>1.6016812495131503</v>
      </c>
      <c r="AM73" s="1">
        <f t="shared" si="37"/>
        <v>2.1009057076473003</v>
      </c>
      <c r="AN73" s="1">
        <f t="shared" si="37"/>
        <v>6.27234051801313</v>
      </c>
      <c r="AO73" s="1">
        <f t="shared" si="37"/>
        <v>7.0735571822530439</v>
      </c>
      <c r="AP73" s="1">
        <f t="shared" si="37"/>
        <v>7.3717602420478219</v>
      </c>
      <c r="AQ73" s="1">
        <f t="shared" si="37"/>
        <v>6.0509750292737223</v>
      </c>
      <c r="AR73" s="1">
        <f t="shared" si="37"/>
        <v>1.9656917954728379</v>
      </c>
      <c r="AS73" s="1">
        <f t="shared" si="37"/>
        <v>1.9988653095051325</v>
      </c>
      <c r="AT73" s="1">
        <f t="shared" si="37"/>
        <v>1.8747990319324261</v>
      </c>
      <c r="AU73" s="1">
        <f t="shared" si="37"/>
        <v>1.9739321745756344</v>
      </c>
      <c r="AV73" s="1">
        <f t="shared" si="37"/>
        <v>1.3673061613305519</v>
      </c>
      <c r="AW73" s="1">
        <f t="shared" si="37"/>
        <v>2.5674295728393424</v>
      </c>
      <c r="AX73" s="1">
        <f t="shared" si="37"/>
        <v>1.5583918029114681</v>
      </c>
      <c r="AY73" s="1">
        <f t="shared" si="37"/>
        <v>1.085454250276815</v>
      </c>
      <c r="AZ73" s="1">
        <f t="shared" si="37"/>
        <v>4.9089072768187298</v>
      </c>
      <c r="BA73" s="1">
        <f t="shared" si="37"/>
        <v>4.9124997925431906</v>
      </c>
      <c r="BB73" s="1">
        <f t="shared" si="37"/>
        <v>5.0241886059053424</v>
      </c>
      <c r="BC73" s="1">
        <f t="shared" si="37"/>
        <v>4.3688340010272428</v>
      </c>
      <c r="BD73" s="1">
        <f t="shared" si="37"/>
        <v>5.5187455891009547</v>
      </c>
      <c r="BE73" s="1">
        <f t="shared" si="37"/>
        <v>4.5029776537781085</v>
      </c>
      <c r="BF73" s="1">
        <f t="shared" si="37"/>
        <v>1.5652820505513751</v>
      </c>
      <c r="BG73" s="1">
        <f t="shared" si="37"/>
        <v>1.3235705768100652</v>
      </c>
      <c r="BH73" s="1">
        <f t="shared" si="37"/>
        <v>2.5000461517141064</v>
      </c>
      <c r="BI73" s="1">
        <f t="shared" si="37"/>
        <v>1.610686809769359</v>
      </c>
      <c r="BJ73" s="1">
        <f t="shared" si="37"/>
        <v>1.4944010326953732</v>
      </c>
      <c r="BK73" s="1">
        <f t="shared" si="37"/>
        <v>1.0718916951941893</v>
      </c>
      <c r="BL73" s="1">
        <f t="shared" si="37"/>
        <v>1.6100404249136133</v>
      </c>
      <c r="BM73" s="1">
        <f t="shared" si="37"/>
        <v>1.7548280681434276</v>
      </c>
      <c r="BN73" s="1">
        <f t="shared" si="37"/>
        <v>2.6308323040654864</v>
      </c>
      <c r="BO73" s="1">
        <f t="shared" si="37"/>
        <v>13.83079375110629</v>
      </c>
      <c r="BP73" s="1">
        <f t="shared" si="37"/>
        <v>14.434286842771034</v>
      </c>
      <c r="BQ73" s="1">
        <f t="shared" si="37"/>
        <v>1.5222045163958744</v>
      </c>
      <c r="BR73" s="1">
        <f t="shared" si="37"/>
        <v>1.9927823100341271</v>
      </c>
      <c r="BS73" s="1">
        <f t="shared" si="37"/>
        <v>1.5345993728281566</v>
      </c>
      <c r="BT73" s="1">
        <f t="shared" si="37"/>
        <v>0.98108605774019719</v>
      </c>
      <c r="BU73" s="1">
        <f t="shared" si="37"/>
        <v>1.2619675651656006</v>
      </c>
      <c r="BV73" s="1">
        <f t="shared" si="37"/>
        <v>0.78526950137187901</v>
      </c>
      <c r="BW73" s="1">
        <f t="shared" si="37"/>
        <v>0.77184569192812036</v>
      </c>
      <c r="BX73" s="1">
        <f t="shared" si="33"/>
        <v>0.81080895633581618</v>
      </c>
      <c r="BY73" s="1">
        <f t="shared" si="33"/>
        <v>0.66043293238980771</v>
      </c>
      <c r="BZ73" s="5">
        <v>9999999</v>
      </c>
      <c r="CA73" s="1">
        <f t="shared" si="33"/>
        <v>0.53605923820600676</v>
      </c>
      <c r="CB73" s="1">
        <f t="shared" si="33"/>
        <v>0.45351475299597666</v>
      </c>
      <c r="CC73" s="1">
        <f t="shared" si="33"/>
        <v>9.7621753683567558</v>
      </c>
      <c r="CD73" s="1">
        <f t="shared" si="33"/>
        <v>11.405988493328943</v>
      </c>
      <c r="CE73" s="1">
        <f t="shared" si="33"/>
        <v>9.0359996325924055</v>
      </c>
      <c r="CF73" s="1">
        <f t="shared" si="33"/>
        <v>9.0334379130203803</v>
      </c>
      <c r="CH73" s="1" t="s">
        <v>85</v>
      </c>
      <c r="CI73" s="1">
        <v>0</v>
      </c>
      <c r="CJ73" s="1">
        <v>0</v>
      </c>
      <c r="CK73" s="1">
        <v>0</v>
      </c>
      <c r="CL73" s="1">
        <v>0</v>
      </c>
      <c r="CM73" s="1">
        <v>0</v>
      </c>
      <c r="CN73" s="1">
        <v>0</v>
      </c>
      <c r="CO73" s="1">
        <v>0</v>
      </c>
      <c r="CP73" s="1">
        <v>0</v>
      </c>
      <c r="CQ73" s="1">
        <v>0</v>
      </c>
      <c r="CR73" s="1">
        <v>0</v>
      </c>
      <c r="CS73" s="1">
        <v>0</v>
      </c>
      <c r="CT73" s="1">
        <v>0</v>
      </c>
      <c r="CU73" s="1">
        <v>0</v>
      </c>
      <c r="CV73" s="1">
        <v>0</v>
      </c>
      <c r="CW73" s="1">
        <v>0</v>
      </c>
      <c r="CX73" s="1">
        <v>0</v>
      </c>
      <c r="CY73" s="1">
        <v>0</v>
      </c>
      <c r="CZ73" s="1">
        <v>0</v>
      </c>
      <c r="DA73" s="1">
        <v>0</v>
      </c>
      <c r="DB73" s="1">
        <v>0</v>
      </c>
      <c r="DC73" s="1">
        <v>0</v>
      </c>
      <c r="DD73" s="1">
        <v>0</v>
      </c>
      <c r="DE73" s="1">
        <v>0</v>
      </c>
      <c r="DF73" s="1">
        <v>0</v>
      </c>
      <c r="DG73" s="1">
        <v>0</v>
      </c>
      <c r="DH73" s="1">
        <v>0</v>
      </c>
      <c r="DI73" s="1">
        <v>0</v>
      </c>
      <c r="DJ73" s="1">
        <v>0</v>
      </c>
      <c r="DK73" s="1">
        <v>0</v>
      </c>
      <c r="DL73" s="1">
        <v>0</v>
      </c>
      <c r="DM73" s="1">
        <v>0</v>
      </c>
      <c r="DN73" s="1">
        <v>0</v>
      </c>
      <c r="DO73" s="1">
        <v>0</v>
      </c>
      <c r="DP73" s="1">
        <v>0</v>
      </c>
      <c r="DQ73" s="1">
        <v>0</v>
      </c>
      <c r="DR73" s="1">
        <v>0</v>
      </c>
      <c r="DS73" s="1">
        <v>0</v>
      </c>
      <c r="DT73" s="1">
        <v>0</v>
      </c>
      <c r="DU73" s="1">
        <v>0</v>
      </c>
      <c r="DV73" s="1">
        <v>0</v>
      </c>
      <c r="DW73" s="1">
        <v>0</v>
      </c>
      <c r="DX73" s="1">
        <v>0</v>
      </c>
      <c r="DY73" s="1">
        <v>0</v>
      </c>
      <c r="DZ73" s="1">
        <v>0</v>
      </c>
      <c r="EA73" s="1">
        <v>0</v>
      </c>
      <c r="EB73" s="1">
        <v>0</v>
      </c>
      <c r="EC73" s="1">
        <v>0</v>
      </c>
      <c r="ED73" s="1">
        <v>0</v>
      </c>
      <c r="EE73" s="1">
        <v>0</v>
      </c>
      <c r="EF73" s="1">
        <v>0</v>
      </c>
      <c r="EG73" s="1">
        <v>0</v>
      </c>
      <c r="EH73" s="1">
        <v>0</v>
      </c>
      <c r="EI73" s="1">
        <v>0</v>
      </c>
      <c r="EJ73" s="1">
        <v>0</v>
      </c>
      <c r="EK73" s="1">
        <v>0</v>
      </c>
      <c r="EL73" s="1">
        <v>0</v>
      </c>
      <c r="EM73" s="1">
        <v>0</v>
      </c>
      <c r="EN73" s="1">
        <v>0</v>
      </c>
      <c r="EO73" s="1">
        <v>0</v>
      </c>
      <c r="EP73" s="1">
        <v>0</v>
      </c>
      <c r="EQ73" s="1">
        <v>0</v>
      </c>
      <c r="ER73" s="1">
        <v>0</v>
      </c>
      <c r="ES73" s="1">
        <v>0</v>
      </c>
      <c r="ET73" s="1">
        <v>0</v>
      </c>
      <c r="EU73" s="1">
        <v>0</v>
      </c>
      <c r="EV73" s="1">
        <v>0</v>
      </c>
      <c r="EW73" s="1">
        <v>0</v>
      </c>
      <c r="EX73" s="1">
        <v>0</v>
      </c>
      <c r="EY73" s="1">
        <v>1</v>
      </c>
      <c r="EZ73" s="1">
        <v>0</v>
      </c>
      <c r="FA73" s="1">
        <v>0</v>
      </c>
      <c r="FB73" s="1">
        <v>0</v>
      </c>
      <c r="FC73" s="1">
        <v>0</v>
      </c>
      <c r="FD73" s="1">
        <v>0</v>
      </c>
      <c r="FE73" s="1">
        <f t="shared" si="35"/>
        <v>0</v>
      </c>
    </row>
    <row r="74" spans="5:161" ht="15.75" thickBot="1" x14ac:dyDescent="0.3">
      <c r="E74" s="1" t="s">
        <v>87</v>
      </c>
      <c r="F74" s="1">
        <v>8</v>
      </c>
      <c r="H74" s="1" t="s">
        <v>158</v>
      </c>
      <c r="I74" s="2">
        <v>34.226412000000003</v>
      </c>
      <c r="J74" s="2">
        <v>-5.7114339999999997</v>
      </c>
      <c r="K74" s="1">
        <f t="shared" si="36"/>
        <v>3.701662449039981</v>
      </c>
      <c r="L74" s="1">
        <f t="shared" si="37"/>
        <v>2.9656924182748057</v>
      </c>
      <c r="M74" s="1">
        <f t="shared" si="37"/>
        <v>2.4387872032682543</v>
      </c>
      <c r="N74" s="1">
        <f t="shared" si="37"/>
        <v>3.5524510725956517</v>
      </c>
      <c r="O74" s="1">
        <f t="shared" si="37"/>
        <v>3.4537608630697547</v>
      </c>
      <c r="P74" s="1">
        <f t="shared" si="37"/>
        <v>2.3590891481283611</v>
      </c>
      <c r="Q74" s="1">
        <f t="shared" si="37"/>
        <v>3.4372734179878632</v>
      </c>
      <c r="R74" s="1">
        <f t="shared" si="37"/>
        <v>3.4570346366772129</v>
      </c>
      <c r="S74" s="1">
        <f t="shared" si="37"/>
        <v>4.0584177775537791</v>
      </c>
      <c r="T74" s="1">
        <f t="shared" si="37"/>
        <v>4.8803429068829933</v>
      </c>
      <c r="U74" s="1">
        <f t="shared" si="37"/>
        <v>2.7553712020343131</v>
      </c>
      <c r="V74" s="1">
        <f t="shared" si="37"/>
        <v>4.876144195044783</v>
      </c>
      <c r="W74" s="1">
        <f t="shared" si="37"/>
        <v>3.6324939892996615</v>
      </c>
      <c r="X74" s="1">
        <f t="shared" si="37"/>
        <v>4.0287762946063381</v>
      </c>
      <c r="Y74" s="1">
        <f t="shared" si="37"/>
        <v>3.4468665688340789</v>
      </c>
      <c r="Z74" s="1">
        <f t="shared" si="37"/>
        <v>2.6285593809822712</v>
      </c>
      <c r="AA74" s="1">
        <f t="shared" si="37"/>
        <v>3.517080882931471</v>
      </c>
      <c r="AB74" s="1">
        <f t="shared" si="37"/>
        <v>1.8259794978569768</v>
      </c>
      <c r="AC74" s="1">
        <f t="shared" si="37"/>
        <v>2.7110820532813138</v>
      </c>
      <c r="AD74" s="1">
        <f t="shared" si="37"/>
        <v>3.9004031818715905</v>
      </c>
      <c r="AE74" s="1">
        <f t="shared" si="37"/>
        <v>0.72120175051639979</v>
      </c>
      <c r="AF74" s="1">
        <f t="shared" si="37"/>
        <v>0.37432529546538978</v>
      </c>
      <c r="AG74" s="1">
        <f t="shared" si="37"/>
        <v>0.57113960225780258</v>
      </c>
      <c r="AH74" s="1">
        <f t="shared" si="37"/>
        <v>0.92367669231447114</v>
      </c>
      <c r="AI74" s="1">
        <f t="shared" si="37"/>
        <v>0.54984395162354971</v>
      </c>
      <c r="AJ74" s="1">
        <f t="shared" si="37"/>
        <v>0.96554108654163651</v>
      </c>
      <c r="AK74" s="1">
        <f t="shared" si="37"/>
        <v>1.3069635655507907</v>
      </c>
      <c r="AL74" s="1">
        <f t="shared" si="37"/>
        <v>1.1198013813601047</v>
      </c>
      <c r="AM74" s="1">
        <f t="shared" si="37"/>
        <v>1.7013341173764189</v>
      </c>
      <c r="AN74" s="1">
        <f t="shared" si="37"/>
        <v>6.8077607497560804</v>
      </c>
      <c r="AO74" s="1">
        <f t="shared" si="37"/>
        <v>7.5866036166532576</v>
      </c>
      <c r="AP74" s="1">
        <f t="shared" si="37"/>
        <v>7.9077895517509207</v>
      </c>
      <c r="AQ74" s="1">
        <f t="shared" si="37"/>
        <v>6.5870282246768594</v>
      </c>
      <c r="AR74" s="1">
        <f t="shared" si="37"/>
        <v>1.5537362149148779</v>
      </c>
      <c r="AS74" s="1">
        <f t="shared" si="37"/>
        <v>1.5077831507896733</v>
      </c>
      <c r="AT74" s="1">
        <f t="shared" si="37"/>
        <v>1.3854145366026545</v>
      </c>
      <c r="AU74" s="1">
        <f t="shared" si="37"/>
        <v>1.5336378824578085</v>
      </c>
      <c r="AV74" s="1">
        <f t="shared" si="37"/>
        <v>1.0646676740605401</v>
      </c>
      <c r="AW74" s="1">
        <f t="shared" si="37"/>
        <v>2.051974220673348</v>
      </c>
      <c r="AX74" s="1">
        <f t="shared" si="37"/>
        <v>1.0390116676611805</v>
      </c>
      <c r="AY74" s="1">
        <f t="shared" si="37"/>
        <v>0.58563361285533766</v>
      </c>
      <c r="AZ74" s="1">
        <f t="shared" si="37"/>
        <v>5.4439841495913193</v>
      </c>
      <c r="BA74" s="1">
        <f t="shared" si="37"/>
        <v>5.4480471241065205</v>
      </c>
      <c r="BB74" s="1">
        <f t="shared" si="37"/>
        <v>5.5599846092950722</v>
      </c>
      <c r="BC74" s="1">
        <f t="shared" si="37"/>
        <v>4.904403564963526</v>
      </c>
      <c r="BD74" s="1">
        <f t="shared" si="37"/>
        <v>6.0547533472636434</v>
      </c>
      <c r="BE74" s="1">
        <f t="shared" si="37"/>
        <v>5.0169628180080466</v>
      </c>
      <c r="BF74" s="1">
        <f t="shared" si="37"/>
        <v>2.0104793360283817</v>
      </c>
      <c r="BG74" s="1">
        <f t="shared" si="37"/>
        <v>1.7597842917001889</v>
      </c>
      <c r="BH74" s="1">
        <f t="shared" si="37"/>
        <v>2.9603980022327838</v>
      </c>
      <c r="BI74" s="1">
        <f t="shared" si="37"/>
        <v>2.0870551433081497</v>
      </c>
      <c r="BJ74" s="1">
        <f t="shared" si="37"/>
        <v>1.9652057556289124</v>
      </c>
      <c r="BK74" s="1">
        <f t="shared" si="37"/>
        <v>1.5375827386603083</v>
      </c>
      <c r="BL74" s="1">
        <f t="shared" si="37"/>
        <v>2.101190670742429</v>
      </c>
      <c r="BM74" s="1">
        <f t="shared" si="37"/>
        <v>2.2672294184122621</v>
      </c>
      <c r="BN74" s="1">
        <f t="shared" si="37"/>
        <v>3.1371587931432372</v>
      </c>
      <c r="BO74" s="1">
        <f t="shared" si="37"/>
        <v>14.366523919094673</v>
      </c>
      <c r="BP74" s="1">
        <f t="shared" si="37"/>
        <v>14.966598775233948</v>
      </c>
      <c r="BQ74" s="1">
        <f t="shared" si="37"/>
        <v>1.9981315366516832</v>
      </c>
      <c r="BR74" s="1">
        <f t="shared" si="37"/>
        <v>2.4639773055784362</v>
      </c>
      <c r="BS74" s="1">
        <f t="shared" si="37"/>
        <v>2.0623521489344654</v>
      </c>
      <c r="BT74" s="1">
        <f t="shared" si="37"/>
        <v>1.2913163807080799</v>
      </c>
      <c r="BU74" s="1">
        <f t="shared" si="37"/>
        <v>1.7979871967375092</v>
      </c>
      <c r="BV74" s="1">
        <f t="shared" si="37"/>
        <v>1.140982684129449</v>
      </c>
      <c r="BW74" s="1">
        <f t="shared" si="37"/>
        <v>1.1174255552017782</v>
      </c>
      <c r="BX74" s="1">
        <f t="shared" si="33"/>
        <v>1.2620104036461413</v>
      </c>
      <c r="BY74" s="1">
        <f t="shared" si="33"/>
        <v>0.85958235974745323</v>
      </c>
      <c r="BZ74" s="1">
        <f t="shared" si="33"/>
        <v>0.53605923820600676</v>
      </c>
      <c r="CA74" s="5">
        <v>9999999</v>
      </c>
      <c r="CB74" s="1">
        <f t="shared" si="33"/>
        <v>0.21839829192784471</v>
      </c>
      <c r="CC74" s="1">
        <f t="shared" si="33"/>
        <v>10.296669289268042</v>
      </c>
      <c r="CD74" s="1">
        <f t="shared" si="33"/>
        <v>11.939976570771559</v>
      </c>
      <c r="CE74" s="1">
        <f t="shared" si="33"/>
        <v>9.5683280304115286</v>
      </c>
      <c r="CF74" s="1">
        <f t="shared" si="33"/>
        <v>9.5682220610780178</v>
      </c>
      <c r="CH74" s="1" t="s">
        <v>86</v>
      </c>
      <c r="CI74" s="1">
        <v>0</v>
      </c>
      <c r="CJ74" s="1">
        <v>0</v>
      </c>
      <c r="CK74" s="1">
        <v>0</v>
      </c>
      <c r="CL74" s="1">
        <v>0</v>
      </c>
      <c r="CM74" s="1">
        <v>0</v>
      </c>
      <c r="CN74" s="1">
        <v>0</v>
      </c>
      <c r="CO74" s="1">
        <v>0</v>
      </c>
      <c r="CP74" s="1">
        <v>0</v>
      </c>
      <c r="CQ74" s="1">
        <v>0</v>
      </c>
      <c r="CR74" s="1">
        <v>0</v>
      </c>
      <c r="CS74" s="1">
        <v>0</v>
      </c>
      <c r="CT74" s="1">
        <v>0</v>
      </c>
      <c r="CU74" s="1">
        <v>0</v>
      </c>
      <c r="CV74" s="1">
        <v>0</v>
      </c>
      <c r="CW74" s="1">
        <v>0</v>
      </c>
      <c r="CX74" s="1">
        <v>0</v>
      </c>
      <c r="CY74" s="1">
        <v>0</v>
      </c>
      <c r="CZ74" s="1">
        <v>0</v>
      </c>
      <c r="DA74" s="1">
        <v>0</v>
      </c>
      <c r="DB74" s="1">
        <v>1</v>
      </c>
      <c r="DC74" s="1">
        <v>0</v>
      </c>
      <c r="DD74" s="1">
        <v>0</v>
      </c>
      <c r="DE74" s="1">
        <v>0</v>
      </c>
      <c r="DF74" s="1">
        <v>0</v>
      </c>
      <c r="DG74" s="1">
        <v>0</v>
      </c>
      <c r="DH74" s="1">
        <v>0</v>
      </c>
      <c r="DI74" s="1">
        <v>0</v>
      </c>
      <c r="DJ74" s="1">
        <v>0</v>
      </c>
      <c r="DK74" s="1">
        <v>0</v>
      </c>
      <c r="DL74" s="1">
        <v>0</v>
      </c>
      <c r="DM74" s="1">
        <v>0</v>
      </c>
      <c r="DN74" s="1">
        <v>0</v>
      </c>
      <c r="DO74" s="1">
        <v>0</v>
      </c>
      <c r="DP74" s="1">
        <v>0</v>
      </c>
      <c r="DQ74" s="1">
        <v>0</v>
      </c>
      <c r="DR74" s="1">
        <v>0</v>
      </c>
      <c r="DS74" s="1">
        <v>0</v>
      </c>
      <c r="DT74" s="1">
        <v>0</v>
      </c>
      <c r="DU74" s="1">
        <v>0</v>
      </c>
      <c r="DV74" s="1">
        <v>0</v>
      </c>
      <c r="DW74" s="1">
        <v>0</v>
      </c>
      <c r="DX74" s="1">
        <v>0</v>
      </c>
      <c r="DY74" s="1">
        <v>0</v>
      </c>
      <c r="DZ74" s="1">
        <v>0</v>
      </c>
      <c r="EA74" s="1">
        <v>0</v>
      </c>
      <c r="EB74" s="1">
        <v>0</v>
      </c>
      <c r="EC74" s="1">
        <v>0</v>
      </c>
      <c r="ED74" s="1">
        <v>0</v>
      </c>
      <c r="EE74" s="1">
        <v>0</v>
      </c>
      <c r="EF74" s="1">
        <v>0</v>
      </c>
      <c r="EG74" s="1">
        <v>0</v>
      </c>
      <c r="EH74" s="1">
        <v>0</v>
      </c>
      <c r="EI74" s="1">
        <v>0</v>
      </c>
      <c r="EJ74" s="1">
        <v>0</v>
      </c>
      <c r="EK74" s="1">
        <v>0</v>
      </c>
      <c r="EL74" s="1">
        <v>0</v>
      </c>
      <c r="EM74" s="1">
        <v>0</v>
      </c>
      <c r="EN74" s="1">
        <v>0</v>
      </c>
      <c r="EO74" s="1">
        <v>0</v>
      </c>
      <c r="EP74" s="1">
        <v>0</v>
      </c>
      <c r="EQ74" s="1">
        <v>0</v>
      </c>
      <c r="ER74" s="1">
        <v>0</v>
      </c>
      <c r="ES74" s="1">
        <v>0</v>
      </c>
      <c r="ET74" s="1">
        <v>0</v>
      </c>
      <c r="EU74" s="1">
        <v>0</v>
      </c>
      <c r="EV74" s="1">
        <v>0</v>
      </c>
      <c r="EW74" s="1">
        <v>0</v>
      </c>
      <c r="EX74" s="1">
        <v>0</v>
      </c>
      <c r="EY74" s="1">
        <v>0</v>
      </c>
      <c r="EZ74" s="1">
        <v>0</v>
      </c>
      <c r="FA74" s="1">
        <v>0</v>
      </c>
      <c r="FB74" s="1">
        <v>0</v>
      </c>
      <c r="FC74" s="1">
        <v>0</v>
      </c>
      <c r="FD74" s="1">
        <v>0</v>
      </c>
      <c r="FE74" s="1">
        <f t="shared" si="35"/>
        <v>0</v>
      </c>
    </row>
    <row r="75" spans="5:161" ht="15.75" thickBot="1" x14ac:dyDescent="0.3">
      <c r="E75" s="1" t="s">
        <v>88</v>
      </c>
      <c r="F75" s="1">
        <v>7</v>
      </c>
      <c r="H75" s="1" t="s">
        <v>16</v>
      </c>
      <c r="I75" s="2">
        <v>34.259878</v>
      </c>
      <c r="J75" s="2">
        <v>-5.9272530000000003</v>
      </c>
      <c r="K75" s="1">
        <f t="shared" si="36"/>
        <v>3.9123874695295275</v>
      </c>
      <c r="L75" s="1">
        <f t="shared" si="37"/>
        <v>3.1599845142162444</v>
      </c>
      <c r="M75" s="1">
        <f t="shared" si="37"/>
        <v>2.6356653485122123</v>
      </c>
      <c r="N75" s="1">
        <f t="shared" si="37"/>
        <v>3.7676145128562455</v>
      </c>
      <c r="O75" s="1">
        <f t="shared" si="37"/>
        <v>3.6591122575084714</v>
      </c>
      <c r="P75" s="1">
        <f t="shared" si="37"/>
        <v>2.5751364693289562</v>
      </c>
      <c r="Q75" s="1">
        <f t="shared" si="37"/>
        <v>3.6462192850848778</v>
      </c>
      <c r="R75" s="1">
        <f t="shared" si="37"/>
        <v>3.3451001920474863</v>
      </c>
      <c r="S75" s="1">
        <f t="shared" si="37"/>
        <v>3.9220041424769474</v>
      </c>
      <c r="T75" s="1">
        <f t="shared" si="37"/>
        <v>4.7218797083573962</v>
      </c>
      <c r="U75" s="1">
        <f t="shared" si="37"/>
        <v>2.6558205781552715</v>
      </c>
      <c r="V75" s="1">
        <f t="shared" si="37"/>
        <v>4.7178125620208045</v>
      </c>
      <c r="W75" s="1">
        <f t="shared" si="37"/>
        <v>3.8386405389946816</v>
      </c>
      <c r="X75" s="1">
        <f t="shared" si="37"/>
        <v>3.8588892634226104</v>
      </c>
      <c r="Y75" s="1">
        <f t="shared" si="37"/>
        <v>3.2929470473308555</v>
      </c>
      <c r="Z75" s="1">
        <f t="shared" si="37"/>
        <v>2.7680572392940661</v>
      </c>
      <c r="AA75" s="1">
        <f t="shared" si="37"/>
        <v>3.4815373857141036</v>
      </c>
      <c r="AB75" s="1">
        <f t="shared" si="37"/>
        <v>1.9760395873304284</v>
      </c>
      <c r="AC75" s="1">
        <f t="shared" si="37"/>
        <v>2.7670438457359161</v>
      </c>
      <c r="AD75" s="1">
        <f t="shared" si="37"/>
        <v>3.9328755268435591</v>
      </c>
      <c r="AE75" s="1">
        <f t="shared" si="37"/>
        <v>0.93848663969889268</v>
      </c>
      <c r="AF75" s="1">
        <f t="shared" si="37"/>
        <v>0.53594998530016758</v>
      </c>
      <c r="AG75" s="1">
        <f t="shared" si="37"/>
        <v>0.70962015905302844</v>
      </c>
      <c r="AH75" s="1">
        <f t="shared" si="37"/>
        <v>1.0992586458854889</v>
      </c>
      <c r="AI75" s="1">
        <f t="shared" si="37"/>
        <v>0.76743531924456065</v>
      </c>
      <c r="AJ75" s="1">
        <f t="shared" si="37"/>
        <v>1.1772264027318633</v>
      </c>
      <c r="AK75" s="1">
        <f t="shared" si="37"/>
        <v>1.4957927158358304</v>
      </c>
      <c r="AL75" s="1">
        <f t="shared" si="37"/>
        <v>1.3209718584000956</v>
      </c>
      <c r="AM75" s="1">
        <f t="shared" si="37"/>
        <v>1.9173793951458853</v>
      </c>
      <c r="AN75" s="1">
        <f t="shared" si="37"/>
        <v>6.6983677482512283</v>
      </c>
      <c r="AO75" s="1">
        <f t="shared" si="37"/>
        <v>7.524581544995951</v>
      </c>
      <c r="AP75" s="1">
        <f t="shared" si="37"/>
        <v>7.7873589962545058</v>
      </c>
      <c r="AQ75" s="1">
        <f t="shared" si="37"/>
        <v>6.4680689538981682</v>
      </c>
      <c r="AR75" s="1">
        <f t="shared" si="37"/>
        <v>1.5226155121814635</v>
      </c>
      <c r="AS75" s="1">
        <f t="shared" si="37"/>
        <v>1.546337935734891</v>
      </c>
      <c r="AT75" s="1">
        <f t="shared" si="37"/>
        <v>1.4222025246828092</v>
      </c>
      <c r="AU75" s="1">
        <f t="shared" si="37"/>
        <v>1.5240733234248831</v>
      </c>
      <c r="AV75" s="1">
        <f t="shared" si="37"/>
        <v>0.96219065180040364</v>
      </c>
      <c r="AW75" s="1">
        <f t="shared" si="37"/>
        <v>2.2268737229993536</v>
      </c>
      <c r="AX75" s="1">
        <f t="shared" si="37"/>
        <v>1.118814986286949</v>
      </c>
      <c r="AY75" s="1">
        <f t="shared" si="37"/>
        <v>0.64021293195389239</v>
      </c>
      <c r="AZ75" s="1">
        <f t="shared" si="37"/>
        <v>5.3159198216233179</v>
      </c>
      <c r="BA75" s="1">
        <f t="shared" si="37"/>
        <v>5.322859558438199</v>
      </c>
      <c r="BB75" s="1">
        <f t="shared" si="37"/>
        <v>5.4479421279780018</v>
      </c>
      <c r="BC75" s="1">
        <f t="shared" si="37"/>
        <v>4.7948029456654755</v>
      </c>
      <c r="BD75" s="1">
        <f t="shared" si="37"/>
        <v>5.9393325282668137</v>
      </c>
      <c r="BE75" s="1">
        <f t="shared" si="37"/>
        <v>4.954064792932205</v>
      </c>
      <c r="BF75" s="1">
        <f t="shared" si="37"/>
        <v>1.8188450387677664</v>
      </c>
      <c r="BG75" s="1">
        <f t="shared" si="37"/>
        <v>1.5671016552165755</v>
      </c>
      <c r="BH75" s="1">
        <f t="shared" si="37"/>
        <v>2.7702462444966729</v>
      </c>
      <c r="BI75" s="1">
        <f t="shared" si="37"/>
        <v>1.9070511239843557</v>
      </c>
      <c r="BJ75" s="1">
        <f t="shared" si="37"/>
        <v>1.7835009947005913</v>
      </c>
      <c r="BK75" s="1">
        <f t="shared" si="37"/>
        <v>1.3577021819025346</v>
      </c>
      <c r="BL75" s="1">
        <f t="shared" si="37"/>
        <v>1.9286864173094109</v>
      </c>
      <c r="BM75" s="1">
        <f t="shared" si="37"/>
        <v>2.1086015788567067</v>
      </c>
      <c r="BN75" s="1">
        <f t="shared" si="37"/>
        <v>2.970519603692916</v>
      </c>
      <c r="BO75" s="1">
        <f t="shared" si="37"/>
        <v>14.25338837875081</v>
      </c>
      <c r="BP75" s="1">
        <f t="shared" si="37"/>
        <v>14.869109728727318</v>
      </c>
      <c r="BQ75" s="1">
        <f t="shared" si="37"/>
        <v>1.9722597673605282</v>
      </c>
      <c r="BR75" s="1">
        <f t="shared" si="37"/>
        <v>2.4424282069573837</v>
      </c>
      <c r="BS75" s="1">
        <f t="shared" si="37"/>
        <v>1.9805273273417066</v>
      </c>
      <c r="BT75" s="1">
        <f t="shared" si="37"/>
        <v>1.3489315506745359</v>
      </c>
      <c r="BU75" s="1">
        <f t="shared" si="37"/>
        <v>1.6891380752102525</v>
      </c>
      <c r="BV75" s="1">
        <f t="shared" si="37"/>
        <v>0.93736075360164273</v>
      </c>
      <c r="BW75" s="1">
        <f t="shared" ref="BW75:CF78" si="38">SQRT(POWER($I75-BW$4,2)+POWER(BW$5-$J75,2))</f>
        <v>0.91245310116027345</v>
      </c>
      <c r="BX75" s="1">
        <f t="shared" si="38"/>
        <v>1.0808944568339749</v>
      </c>
      <c r="BY75" s="1">
        <f t="shared" si="38"/>
        <v>0.64293312087650256</v>
      </c>
      <c r="BZ75" s="1">
        <f t="shared" si="38"/>
        <v>0.45351475299597666</v>
      </c>
      <c r="CA75" s="1">
        <f t="shared" si="38"/>
        <v>0.21839829192784471</v>
      </c>
      <c r="CB75" s="5">
        <v>9999999</v>
      </c>
      <c r="CC75" s="1">
        <f t="shared" si="38"/>
        <v>10.164254619543176</v>
      </c>
      <c r="CD75" s="1">
        <f t="shared" si="38"/>
        <v>11.805357644899052</v>
      </c>
      <c r="CE75" s="1">
        <f t="shared" si="38"/>
        <v>9.4290883349637742</v>
      </c>
      <c r="CF75" s="1">
        <f t="shared" si="38"/>
        <v>9.4619082769224203</v>
      </c>
      <c r="CH75" s="1" t="s">
        <v>87</v>
      </c>
      <c r="CI75" s="1">
        <v>0</v>
      </c>
      <c r="CJ75" s="1">
        <v>0</v>
      </c>
      <c r="CK75" s="1">
        <v>0</v>
      </c>
      <c r="CL75" s="1">
        <v>0</v>
      </c>
      <c r="CM75" s="1">
        <v>0</v>
      </c>
      <c r="CN75" s="1">
        <v>0</v>
      </c>
      <c r="CO75" s="1">
        <v>0</v>
      </c>
      <c r="CP75" s="1">
        <v>0</v>
      </c>
      <c r="CQ75" s="1">
        <v>0</v>
      </c>
      <c r="CR75" s="1">
        <v>0</v>
      </c>
      <c r="CS75" s="1">
        <v>0</v>
      </c>
      <c r="CT75" s="1">
        <v>0</v>
      </c>
      <c r="CU75" s="1">
        <v>0</v>
      </c>
      <c r="CV75" s="1">
        <v>0</v>
      </c>
      <c r="CW75" s="1">
        <v>0</v>
      </c>
      <c r="CX75" s="1">
        <v>0</v>
      </c>
      <c r="CY75" s="1">
        <v>0</v>
      </c>
      <c r="CZ75" s="1">
        <v>0</v>
      </c>
      <c r="DA75" s="1">
        <v>0</v>
      </c>
      <c r="DB75" s="1">
        <v>0</v>
      </c>
      <c r="DC75" s="1">
        <v>0</v>
      </c>
      <c r="DD75" s="1">
        <v>0</v>
      </c>
      <c r="DE75" s="1">
        <v>0</v>
      </c>
      <c r="DF75" s="1">
        <v>0</v>
      </c>
      <c r="DG75" s="1">
        <v>0</v>
      </c>
      <c r="DH75" s="1">
        <v>0</v>
      </c>
      <c r="DI75" s="1">
        <v>0</v>
      </c>
      <c r="DJ75" s="1">
        <v>0</v>
      </c>
      <c r="DK75" s="1">
        <v>0</v>
      </c>
      <c r="DL75" s="1">
        <v>0</v>
      </c>
      <c r="DM75" s="1">
        <v>0</v>
      </c>
      <c r="DN75" s="1">
        <v>0</v>
      </c>
      <c r="DO75" s="1">
        <v>0</v>
      </c>
      <c r="DP75" s="1">
        <v>0</v>
      </c>
      <c r="DQ75" s="1">
        <v>0</v>
      </c>
      <c r="DR75" s="1">
        <v>0</v>
      </c>
      <c r="DS75" s="1">
        <v>0</v>
      </c>
      <c r="DT75" s="1">
        <v>0</v>
      </c>
      <c r="DU75" s="1">
        <v>0</v>
      </c>
      <c r="DV75" s="1">
        <v>0</v>
      </c>
      <c r="DW75" s="1">
        <v>0</v>
      </c>
      <c r="DX75" s="1">
        <v>0</v>
      </c>
      <c r="DY75" s="1">
        <v>0</v>
      </c>
      <c r="DZ75" s="1">
        <v>0</v>
      </c>
      <c r="EA75" s="1">
        <v>0</v>
      </c>
      <c r="EB75" s="1">
        <v>0</v>
      </c>
      <c r="EC75" s="1">
        <v>0</v>
      </c>
      <c r="ED75" s="1">
        <v>0</v>
      </c>
      <c r="EE75" s="1">
        <v>0</v>
      </c>
      <c r="EF75" s="1">
        <v>0</v>
      </c>
      <c r="EG75" s="1">
        <v>0</v>
      </c>
      <c r="EH75" s="1">
        <v>0</v>
      </c>
      <c r="EI75" s="1">
        <v>0</v>
      </c>
      <c r="EJ75" s="1">
        <v>0</v>
      </c>
      <c r="EK75" s="1">
        <v>0</v>
      </c>
      <c r="EL75" s="1">
        <v>0</v>
      </c>
      <c r="EM75" s="1">
        <v>0</v>
      </c>
      <c r="EN75" s="1">
        <v>0</v>
      </c>
      <c r="EO75" s="1">
        <v>0</v>
      </c>
      <c r="EP75" s="1">
        <v>0</v>
      </c>
      <c r="EQ75" s="1">
        <v>0</v>
      </c>
      <c r="ER75" s="1">
        <v>0</v>
      </c>
      <c r="ES75" s="1">
        <v>0</v>
      </c>
      <c r="ET75" s="1">
        <v>0</v>
      </c>
      <c r="EU75" s="1">
        <v>0</v>
      </c>
      <c r="EV75" s="1">
        <v>0</v>
      </c>
      <c r="EW75" s="1">
        <v>0</v>
      </c>
      <c r="EX75" s="1">
        <v>0</v>
      </c>
      <c r="EY75" s="1">
        <v>0</v>
      </c>
      <c r="EZ75" s="1">
        <v>0</v>
      </c>
      <c r="FA75" s="1">
        <v>1</v>
      </c>
      <c r="FB75" s="1">
        <v>0</v>
      </c>
      <c r="FC75" s="1">
        <v>0</v>
      </c>
      <c r="FD75" s="1">
        <v>0</v>
      </c>
      <c r="FE75" s="1">
        <f t="shared" si="35"/>
        <v>0</v>
      </c>
    </row>
    <row r="76" spans="5:161" ht="15.75" thickBot="1" x14ac:dyDescent="0.3">
      <c r="E76" s="1" t="s">
        <v>89</v>
      </c>
      <c r="F76" s="1">
        <v>5</v>
      </c>
      <c r="H76" s="1" t="s">
        <v>17</v>
      </c>
      <c r="I76" s="2">
        <v>27.154512</v>
      </c>
      <c r="J76" s="2">
        <v>-13.195392099999999</v>
      </c>
      <c r="K76" s="1">
        <f t="shared" si="36"/>
        <v>13.453029132049783</v>
      </c>
      <c r="L76" s="1">
        <f t="shared" ref="L76:BW79" si="39">SQRT(POWER($I76-L$4,2)+POWER(L$5-$J76,2))</f>
        <v>13.060610844692309</v>
      </c>
      <c r="M76" s="1">
        <f t="shared" si="39"/>
        <v>12.542582916681491</v>
      </c>
      <c r="N76" s="1">
        <f t="shared" si="39"/>
        <v>13.152526381498445</v>
      </c>
      <c r="O76" s="1">
        <f t="shared" si="39"/>
        <v>13.35949552639649</v>
      </c>
      <c r="P76" s="1">
        <f t="shared" si="39"/>
        <v>12.119633752919862</v>
      </c>
      <c r="Q76" s="1">
        <f t="shared" si="39"/>
        <v>11.936135143830178</v>
      </c>
      <c r="R76" s="1">
        <f t="shared" si="39"/>
        <v>6.8627611464269522</v>
      </c>
      <c r="S76" s="1">
        <f t="shared" si="39"/>
        <v>6.2425820123457321</v>
      </c>
      <c r="T76" s="1">
        <f t="shared" si="39"/>
        <v>5.5446935099113439</v>
      </c>
      <c r="U76" s="1">
        <f t="shared" si="39"/>
        <v>7.5839618948326999</v>
      </c>
      <c r="V76" s="1">
        <f t="shared" si="39"/>
        <v>5.5474106432823618</v>
      </c>
      <c r="W76" s="1">
        <f t="shared" si="39"/>
        <v>13.505994721166134</v>
      </c>
      <c r="X76" s="1">
        <f t="shared" si="39"/>
        <v>6.4682162651814092</v>
      </c>
      <c r="Y76" s="1">
        <f t="shared" si="39"/>
        <v>6.9039376658773941</v>
      </c>
      <c r="Z76" s="1">
        <f t="shared" si="39"/>
        <v>9.977833581329115</v>
      </c>
      <c r="AA76" s="1">
        <f t="shared" si="39"/>
        <v>7.3263159406768565</v>
      </c>
      <c r="AB76" s="1">
        <f t="shared" si="39"/>
        <v>10.101002417252902</v>
      </c>
      <c r="AC76" s="1">
        <f t="shared" si="39"/>
        <v>8.8209688704786604</v>
      </c>
      <c r="AD76" s="1">
        <f t="shared" si="39"/>
        <v>8.0134347763732752</v>
      </c>
      <c r="AE76" s="1">
        <f t="shared" si="39"/>
        <v>10.688107884223205</v>
      </c>
      <c r="AF76" s="1">
        <f t="shared" si="39"/>
        <v>10.207841163963257</v>
      </c>
      <c r="AG76" s="1">
        <f t="shared" si="39"/>
        <v>10.107229227487753</v>
      </c>
      <c r="AH76" s="1">
        <f t="shared" si="39"/>
        <v>10.297174427409775</v>
      </c>
      <c r="AI76" s="1">
        <f t="shared" si="39"/>
        <v>10.598181312233548</v>
      </c>
      <c r="AJ76" s="1">
        <f t="shared" si="39"/>
        <v>10.696636462390558</v>
      </c>
      <c r="AK76" s="1">
        <f t="shared" si="39"/>
        <v>10.498822034465196</v>
      </c>
      <c r="AL76" s="1">
        <f t="shared" si="39"/>
        <v>11.304256728665518</v>
      </c>
      <c r="AM76" s="1">
        <f t="shared" si="39"/>
        <v>11.594578101140662</v>
      </c>
      <c r="AN76" s="1">
        <f t="shared" si="39"/>
        <v>3.6335290771820228</v>
      </c>
      <c r="AO76" s="1">
        <f t="shared" si="39"/>
        <v>4.1538131111944478</v>
      </c>
      <c r="AP76" s="1">
        <f t="shared" si="39"/>
        <v>2.4581421710329554</v>
      </c>
      <c r="AQ76" s="1">
        <f t="shared" si="39"/>
        <v>3.7539906167986206</v>
      </c>
      <c r="AR76" s="1">
        <f t="shared" si="39"/>
        <v>11.357765306144243</v>
      </c>
      <c r="AS76" s="1">
        <f t="shared" si="39"/>
        <v>11.606567096714722</v>
      </c>
      <c r="AT76" s="1">
        <f t="shared" si="39"/>
        <v>11.488830042771074</v>
      </c>
      <c r="AU76" s="1">
        <f t="shared" si="39"/>
        <v>11.442787502232051</v>
      </c>
      <c r="AV76" s="1">
        <f t="shared" si="39"/>
        <v>10.688765188240653</v>
      </c>
      <c r="AW76" s="1">
        <f t="shared" si="39"/>
        <v>12.300483112377384</v>
      </c>
      <c r="AX76" s="1">
        <f t="shared" si="39"/>
        <v>11.26746318846258</v>
      </c>
      <c r="AY76" s="1">
        <f t="shared" si="39"/>
        <v>10.789859152908614</v>
      </c>
      <c r="AZ76" s="1">
        <f t="shared" si="39"/>
        <v>4.8543405547576812</v>
      </c>
      <c r="BA76" s="1">
        <f t="shared" si="39"/>
        <v>4.8548882835776519</v>
      </c>
      <c r="BB76" s="1">
        <f t="shared" si="39"/>
        <v>4.8018123042898981</v>
      </c>
      <c r="BC76" s="1">
        <f t="shared" si="39"/>
        <v>5.4535269341469474</v>
      </c>
      <c r="BD76" s="1">
        <f t="shared" si="39"/>
        <v>4.2979725589603692</v>
      </c>
      <c r="BE76" s="1">
        <f t="shared" si="39"/>
        <v>5.8332402405326143</v>
      </c>
      <c r="BF76" s="1">
        <f t="shared" si="39"/>
        <v>8.5181166521293576</v>
      </c>
      <c r="BG76" s="1">
        <f t="shared" si="39"/>
        <v>8.7463887497542707</v>
      </c>
      <c r="BH76" s="1">
        <f t="shared" si="39"/>
        <v>7.6810927816468517</v>
      </c>
      <c r="BI76" s="1">
        <f t="shared" si="39"/>
        <v>8.3574606102564815</v>
      </c>
      <c r="BJ76" s="1">
        <f t="shared" si="39"/>
        <v>8.4810581100246818</v>
      </c>
      <c r="BK76" s="1">
        <f t="shared" si="39"/>
        <v>8.8676710947523141</v>
      </c>
      <c r="BL76" s="1">
        <f t="shared" si="39"/>
        <v>8.3000307608561368</v>
      </c>
      <c r="BM76" s="1">
        <f t="shared" si="39"/>
        <v>8.0798662806976598</v>
      </c>
      <c r="BN76" s="1">
        <f t="shared" si="39"/>
        <v>7.2782651896060662</v>
      </c>
      <c r="BO76" s="1">
        <f t="shared" si="39"/>
        <v>4.2793993743372463</v>
      </c>
      <c r="BP76" s="1">
        <f t="shared" si="39"/>
        <v>5.2335306292280812</v>
      </c>
      <c r="BQ76" s="1">
        <f t="shared" si="39"/>
        <v>8.5815406904250811</v>
      </c>
      <c r="BR76" s="1">
        <f t="shared" si="39"/>
        <v>8.2448820648194854</v>
      </c>
      <c r="BS76" s="1">
        <f t="shared" si="39"/>
        <v>8.2997646140827843</v>
      </c>
      <c r="BT76" s="1">
        <f t="shared" si="39"/>
        <v>9.4899817181180524</v>
      </c>
      <c r="BU76" s="1">
        <f t="shared" si="39"/>
        <v>8.5064709792582498</v>
      </c>
      <c r="BV76" s="1">
        <f t="shared" si="39"/>
        <v>9.3613227246863993</v>
      </c>
      <c r="BW76" s="1">
        <f t="shared" si="39"/>
        <v>9.3914452225964116</v>
      </c>
      <c r="BX76" s="1">
        <f t="shared" si="38"/>
        <v>9.1305632141970268</v>
      </c>
      <c r="BY76" s="1">
        <f t="shared" si="38"/>
        <v>9.7183592178997777</v>
      </c>
      <c r="BZ76" s="1">
        <f t="shared" si="38"/>
        <v>9.7621753683567558</v>
      </c>
      <c r="CA76" s="1">
        <f t="shared" si="38"/>
        <v>10.296669289268042</v>
      </c>
      <c r="CB76" s="1">
        <f t="shared" si="38"/>
        <v>10.164254619543176</v>
      </c>
      <c r="CC76" s="5">
        <v>9999999</v>
      </c>
      <c r="CD76" s="1">
        <f t="shared" si="38"/>
        <v>1.6482597294055927</v>
      </c>
      <c r="CE76" s="1">
        <f t="shared" si="38"/>
        <v>0.83084054734482671</v>
      </c>
      <c r="CF76" s="1">
        <f t="shared" si="38"/>
        <v>1.5807090993874902</v>
      </c>
      <c r="CH76" s="1" t="s">
        <v>88</v>
      </c>
      <c r="CI76" s="1">
        <v>0</v>
      </c>
      <c r="CJ76" s="1">
        <v>0</v>
      </c>
      <c r="CK76" s="1">
        <v>0</v>
      </c>
      <c r="CL76" s="1">
        <v>0</v>
      </c>
      <c r="CM76" s="1">
        <v>0</v>
      </c>
      <c r="CN76" s="1">
        <v>0</v>
      </c>
      <c r="CO76" s="1">
        <v>0</v>
      </c>
      <c r="CP76" s="1">
        <v>0</v>
      </c>
      <c r="CQ76" s="1">
        <v>0</v>
      </c>
      <c r="CR76" s="1">
        <v>0</v>
      </c>
      <c r="CS76" s="1">
        <v>0</v>
      </c>
      <c r="CT76" s="1">
        <v>0</v>
      </c>
      <c r="CU76" s="1">
        <v>0</v>
      </c>
      <c r="CV76" s="1">
        <v>0</v>
      </c>
      <c r="CW76" s="1">
        <v>0</v>
      </c>
      <c r="CX76" s="1">
        <v>0</v>
      </c>
      <c r="CY76" s="1">
        <v>0</v>
      </c>
      <c r="CZ76" s="1">
        <v>0</v>
      </c>
      <c r="DA76" s="1">
        <v>0</v>
      </c>
      <c r="DB76" s="1">
        <v>0</v>
      </c>
      <c r="DC76" s="1">
        <v>0</v>
      </c>
      <c r="DD76" s="1">
        <v>0</v>
      </c>
      <c r="DE76" s="1">
        <v>0</v>
      </c>
      <c r="DF76" s="1">
        <v>0</v>
      </c>
      <c r="DG76" s="1">
        <v>0</v>
      </c>
      <c r="DH76" s="1">
        <v>0</v>
      </c>
      <c r="DI76" s="1">
        <v>0</v>
      </c>
      <c r="DJ76" s="1">
        <v>0</v>
      </c>
      <c r="DK76" s="1">
        <v>0</v>
      </c>
      <c r="DL76" s="1">
        <v>0</v>
      </c>
      <c r="DM76" s="1">
        <v>0</v>
      </c>
      <c r="DN76" s="1">
        <v>0</v>
      </c>
      <c r="DO76" s="1">
        <v>0</v>
      </c>
      <c r="DP76" s="1">
        <v>0</v>
      </c>
      <c r="DQ76" s="1">
        <v>0</v>
      </c>
      <c r="DR76" s="1">
        <v>0</v>
      </c>
      <c r="DS76" s="1">
        <v>0</v>
      </c>
      <c r="DT76" s="1">
        <v>0</v>
      </c>
      <c r="DU76" s="1">
        <v>0</v>
      </c>
      <c r="DV76" s="1">
        <v>0</v>
      </c>
      <c r="DW76" s="1">
        <v>0</v>
      </c>
      <c r="DX76" s="1">
        <v>0</v>
      </c>
      <c r="DY76" s="1">
        <v>0</v>
      </c>
      <c r="DZ76" s="1">
        <v>0</v>
      </c>
      <c r="EA76" s="1">
        <v>0</v>
      </c>
      <c r="EB76" s="1">
        <v>1</v>
      </c>
      <c r="EC76" s="1">
        <v>0</v>
      </c>
      <c r="ED76" s="1">
        <v>0</v>
      </c>
      <c r="EE76" s="1">
        <v>0</v>
      </c>
      <c r="EF76" s="1">
        <v>0</v>
      </c>
      <c r="EG76" s="1">
        <v>0</v>
      </c>
      <c r="EH76" s="1">
        <v>0</v>
      </c>
      <c r="EI76" s="1">
        <v>0</v>
      </c>
      <c r="EJ76" s="1">
        <v>0</v>
      </c>
      <c r="EK76" s="1">
        <v>0</v>
      </c>
      <c r="EL76" s="1">
        <v>0</v>
      </c>
      <c r="EM76" s="1">
        <v>0</v>
      </c>
      <c r="EN76" s="1">
        <v>0</v>
      </c>
      <c r="EO76" s="1">
        <v>0</v>
      </c>
      <c r="EP76" s="1">
        <v>0</v>
      </c>
      <c r="EQ76" s="1">
        <v>0</v>
      </c>
      <c r="ER76" s="1">
        <v>0</v>
      </c>
      <c r="ES76" s="1">
        <v>0</v>
      </c>
      <c r="ET76" s="1">
        <v>0</v>
      </c>
      <c r="EU76" s="1">
        <v>0</v>
      </c>
      <c r="EV76" s="1">
        <v>0</v>
      </c>
      <c r="EW76" s="1">
        <v>0</v>
      </c>
      <c r="EX76" s="1">
        <v>0</v>
      </c>
      <c r="EY76" s="1">
        <v>0</v>
      </c>
      <c r="EZ76" s="1">
        <v>0</v>
      </c>
      <c r="FA76" s="1">
        <v>0</v>
      </c>
      <c r="FB76" s="1">
        <v>0</v>
      </c>
      <c r="FC76" s="1">
        <v>0</v>
      </c>
      <c r="FD76" s="1">
        <v>0</v>
      </c>
      <c r="FE76" s="1">
        <f t="shared" si="35"/>
        <v>0</v>
      </c>
    </row>
    <row r="77" spans="5:161" ht="15.75" thickBot="1" x14ac:dyDescent="0.3">
      <c r="F77">
        <f>SUM(F3:F76)</f>
        <v>578</v>
      </c>
      <c r="H77" s="1" t="s">
        <v>18</v>
      </c>
      <c r="I77" s="2">
        <v>26.126337800000002</v>
      </c>
      <c r="J77" s="2">
        <v>-14.4836537</v>
      </c>
      <c r="K77" s="1">
        <f t="shared" si="36"/>
        <v>15.096475664954186</v>
      </c>
      <c r="L77" s="1">
        <f t="shared" si="39"/>
        <v>14.708808142081606</v>
      </c>
      <c r="M77" s="1">
        <f t="shared" si="39"/>
        <v>14.190842627703843</v>
      </c>
      <c r="N77" s="1">
        <f t="shared" si="39"/>
        <v>14.793714085595484</v>
      </c>
      <c r="O77" s="1">
        <f t="shared" si="39"/>
        <v>15.005719414745375</v>
      </c>
      <c r="P77" s="1">
        <f t="shared" si="39"/>
        <v>13.766034025638424</v>
      </c>
      <c r="Q77" s="1">
        <f t="shared" si="39"/>
        <v>13.558347798001853</v>
      </c>
      <c r="R77" s="1">
        <f t="shared" si="39"/>
        <v>8.5101589403721949</v>
      </c>
      <c r="S77" s="1">
        <f t="shared" si="39"/>
        <v>7.8833962865852731</v>
      </c>
      <c r="T77" s="1">
        <f t="shared" si="39"/>
        <v>7.1591810205548798</v>
      </c>
      <c r="U77" s="1">
        <f t="shared" si="39"/>
        <v>9.2316583539665551</v>
      </c>
      <c r="V77" s="1">
        <f t="shared" si="39"/>
        <v>7.1621691345299583</v>
      </c>
      <c r="W77" s="1">
        <f t="shared" si="39"/>
        <v>15.151530594827657</v>
      </c>
      <c r="X77" s="1">
        <f t="shared" si="39"/>
        <v>8.0795533569913669</v>
      </c>
      <c r="Y77" s="1">
        <f t="shared" si="39"/>
        <v>8.5360872922932494</v>
      </c>
      <c r="Z77" s="1">
        <f t="shared" si="39"/>
        <v>11.604561127911319</v>
      </c>
      <c r="AA77" s="1">
        <f t="shared" si="39"/>
        <v>8.9625497450942788</v>
      </c>
      <c r="AB77" s="1">
        <f t="shared" si="39"/>
        <v>11.74290556985278</v>
      </c>
      <c r="AC77" s="1">
        <f t="shared" si="39"/>
        <v>10.452416594580741</v>
      </c>
      <c r="AD77" s="1">
        <f t="shared" si="39"/>
        <v>9.6133488347091589</v>
      </c>
      <c r="AE77" s="1">
        <f t="shared" si="39"/>
        <v>12.335893778288485</v>
      </c>
      <c r="AF77" s="1">
        <f t="shared" si="39"/>
        <v>11.854463625105325</v>
      </c>
      <c r="AG77" s="1">
        <f t="shared" si="39"/>
        <v>11.754821723473299</v>
      </c>
      <c r="AH77" s="1">
        <f t="shared" si="39"/>
        <v>11.945406631528467</v>
      </c>
      <c r="AI77" s="1">
        <f t="shared" si="39"/>
        <v>12.245328892225873</v>
      </c>
      <c r="AJ77" s="1">
        <f t="shared" si="39"/>
        <v>12.344896146341501</v>
      </c>
      <c r="AK77" s="1">
        <f t="shared" si="39"/>
        <v>12.14589845023008</v>
      </c>
      <c r="AL77" s="1">
        <f t="shared" si="39"/>
        <v>12.951465965785623</v>
      </c>
      <c r="AM77" s="1">
        <f t="shared" si="39"/>
        <v>13.242624231223431</v>
      </c>
      <c r="AN77" s="1">
        <f t="shared" si="39"/>
        <v>5.2698465086976407</v>
      </c>
      <c r="AO77" s="1">
        <f t="shared" si="39"/>
        <v>5.5843972589570035</v>
      </c>
      <c r="AP77" s="1">
        <f t="shared" si="39"/>
        <v>4.0987645662830072</v>
      </c>
      <c r="AQ77" s="1">
        <f t="shared" si="39"/>
        <v>5.401365660677536</v>
      </c>
      <c r="AR77" s="1">
        <f t="shared" si="39"/>
        <v>12.980500752229611</v>
      </c>
      <c r="AS77" s="1">
        <f t="shared" si="39"/>
        <v>13.238213117032739</v>
      </c>
      <c r="AT77" s="1">
        <f t="shared" si="39"/>
        <v>13.121234469033581</v>
      </c>
      <c r="AU77" s="1">
        <f t="shared" si="39"/>
        <v>13.068410054100685</v>
      </c>
      <c r="AV77" s="1">
        <f t="shared" si="39"/>
        <v>12.314466911640245</v>
      </c>
      <c r="AW77" s="1">
        <f t="shared" si="39"/>
        <v>13.94732088541128</v>
      </c>
      <c r="AX77" s="1">
        <f t="shared" si="39"/>
        <v>12.905738847850797</v>
      </c>
      <c r="AY77" s="1">
        <f t="shared" si="39"/>
        <v>12.428920154082297</v>
      </c>
      <c r="AZ77" s="1">
        <f t="shared" si="39"/>
        <v>6.5000394570603293</v>
      </c>
      <c r="BA77" s="1">
        <f t="shared" si="39"/>
        <v>6.501814290717399</v>
      </c>
      <c r="BB77" s="1">
        <f t="shared" si="39"/>
        <v>6.4492214005943289</v>
      </c>
      <c r="BC77" s="1">
        <f t="shared" si="39"/>
        <v>7.1015420940224354</v>
      </c>
      <c r="BD77" s="1">
        <f t="shared" si="39"/>
        <v>5.9452729308285974</v>
      </c>
      <c r="BE77" s="1">
        <f t="shared" si="39"/>
        <v>7.4523567798448553</v>
      </c>
      <c r="BF77" s="1">
        <f t="shared" si="39"/>
        <v>10.143126440481142</v>
      </c>
      <c r="BG77" s="1">
        <f t="shared" si="39"/>
        <v>10.37433264990093</v>
      </c>
      <c r="BH77" s="1">
        <f t="shared" si="39"/>
        <v>9.2905089888689574</v>
      </c>
      <c r="BI77" s="1">
        <f t="shared" si="39"/>
        <v>9.9866163102492305</v>
      </c>
      <c r="BJ77" s="1">
        <f t="shared" si="39"/>
        <v>10.110781373306512</v>
      </c>
      <c r="BK77" s="1">
        <f t="shared" si="39"/>
        <v>10.501751207585489</v>
      </c>
      <c r="BL77" s="1">
        <f t="shared" si="39"/>
        <v>9.9319331923390433</v>
      </c>
      <c r="BM77" s="1">
        <f t="shared" si="39"/>
        <v>9.7155420839498987</v>
      </c>
      <c r="BN77" s="1">
        <f t="shared" si="39"/>
        <v>8.9042242385318993</v>
      </c>
      <c r="BO77" s="1">
        <f t="shared" si="39"/>
        <v>2.8928327797515543</v>
      </c>
      <c r="BP77" s="1">
        <f t="shared" si="39"/>
        <v>4.0541052633690002</v>
      </c>
      <c r="BQ77" s="1">
        <f t="shared" si="39"/>
        <v>10.229347405760384</v>
      </c>
      <c r="BR77" s="1">
        <f t="shared" si="39"/>
        <v>9.890267425928938</v>
      </c>
      <c r="BS77" s="1">
        <f t="shared" si="39"/>
        <v>9.9474950025933229</v>
      </c>
      <c r="BT77" s="1">
        <f t="shared" si="39"/>
        <v>11.138000070603645</v>
      </c>
      <c r="BU77" s="1">
        <f t="shared" si="39"/>
        <v>10.151756251455927</v>
      </c>
      <c r="BV77" s="1">
        <f t="shared" si="39"/>
        <v>10.99381774765641</v>
      </c>
      <c r="BW77" s="1">
        <f t="shared" si="39"/>
        <v>11.023918550905947</v>
      </c>
      <c r="BX77" s="1">
        <f t="shared" si="38"/>
        <v>10.766432649403402</v>
      </c>
      <c r="BY77" s="1">
        <f t="shared" si="38"/>
        <v>11.351390374674411</v>
      </c>
      <c r="BZ77" s="1">
        <f t="shared" si="38"/>
        <v>11.405988493328943</v>
      </c>
      <c r="CA77" s="1">
        <f t="shared" si="38"/>
        <v>11.939976570771559</v>
      </c>
      <c r="CB77" s="1">
        <f t="shared" si="38"/>
        <v>11.805357644899052</v>
      </c>
      <c r="CC77" s="1">
        <f t="shared" si="38"/>
        <v>1.6482597294055927</v>
      </c>
      <c r="CD77" s="5">
        <v>9999999</v>
      </c>
      <c r="CE77" s="1">
        <f t="shared" si="38"/>
        <v>2.3914910099891338</v>
      </c>
      <c r="CF77" s="1">
        <f t="shared" si="38"/>
        <v>2.8797965968506394</v>
      </c>
      <c r="CH77" s="1" t="s">
        <v>89</v>
      </c>
      <c r="CI77" s="1">
        <v>0</v>
      </c>
      <c r="CJ77" s="1">
        <v>0</v>
      </c>
      <c r="CK77" s="1">
        <v>0</v>
      </c>
      <c r="CL77" s="1">
        <v>0</v>
      </c>
      <c r="CM77" s="1">
        <v>0</v>
      </c>
      <c r="CN77" s="1">
        <v>0</v>
      </c>
      <c r="CO77" s="1">
        <v>0</v>
      </c>
      <c r="CP77" s="1">
        <v>0</v>
      </c>
      <c r="CQ77" s="1">
        <v>0</v>
      </c>
      <c r="CR77" s="1">
        <v>0</v>
      </c>
      <c r="CS77" s="1">
        <v>0</v>
      </c>
      <c r="CT77" s="1">
        <v>0</v>
      </c>
      <c r="CU77" s="1">
        <v>0</v>
      </c>
      <c r="CV77" s="1">
        <v>0</v>
      </c>
      <c r="CW77" s="1">
        <v>0</v>
      </c>
      <c r="CX77" s="1">
        <v>0</v>
      </c>
      <c r="CY77" s="1">
        <v>0</v>
      </c>
      <c r="CZ77" s="1">
        <v>0</v>
      </c>
      <c r="DA77" s="1">
        <v>0</v>
      </c>
      <c r="DB77" s="1">
        <v>0</v>
      </c>
      <c r="DC77" s="1">
        <v>0</v>
      </c>
      <c r="DD77" s="1">
        <v>0</v>
      </c>
      <c r="DE77" s="1">
        <v>0</v>
      </c>
      <c r="DF77" s="1">
        <v>0</v>
      </c>
      <c r="DG77" s="1">
        <v>0</v>
      </c>
      <c r="DH77" s="1">
        <v>0</v>
      </c>
      <c r="DI77" s="1">
        <v>0</v>
      </c>
      <c r="DJ77" s="1">
        <v>0</v>
      </c>
      <c r="DK77" s="1">
        <v>0</v>
      </c>
      <c r="DL77" s="1">
        <v>0</v>
      </c>
      <c r="DM77" s="1">
        <v>0</v>
      </c>
      <c r="DN77" s="1">
        <v>0</v>
      </c>
      <c r="DO77" s="1">
        <v>0</v>
      </c>
      <c r="DP77" s="1">
        <v>0</v>
      </c>
      <c r="DQ77" s="1">
        <v>0</v>
      </c>
      <c r="DR77" s="1">
        <v>0</v>
      </c>
      <c r="DS77" s="1">
        <v>0</v>
      </c>
      <c r="DT77" s="1">
        <v>0</v>
      </c>
      <c r="DU77" s="1">
        <v>0</v>
      </c>
      <c r="DV77" s="1">
        <v>0</v>
      </c>
      <c r="DW77" s="1">
        <v>0</v>
      </c>
      <c r="DX77" s="1">
        <v>0</v>
      </c>
      <c r="DY77" s="1">
        <v>0</v>
      </c>
      <c r="DZ77" s="1">
        <v>0</v>
      </c>
      <c r="EA77" s="1">
        <v>0</v>
      </c>
      <c r="EB77" s="1">
        <v>0</v>
      </c>
      <c r="EC77" s="1">
        <v>0</v>
      </c>
      <c r="ED77" s="1">
        <v>0</v>
      </c>
      <c r="EE77" s="1">
        <v>0</v>
      </c>
      <c r="EF77" s="1">
        <v>0</v>
      </c>
      <c r="EG77" s="1">
        <v>0</v>
      </c>
      <c r="EH77" s="1">
        <v>0</v>
      </c>
      <c r="EI77" s="1">
        <v>0</v>
      </c>
      <c r="EJ77" s="1">
        <v>0</v>
      </c>
      <c r="EK77" s="1">
        <v>0</v>
      </c>
      <c r="EL77" s="1">
        <v>0</v>
      </c>
      <c r="EM77" s="1">
        <v>1</v>
      </c>
      <c r="EN77" s="1">
        <v>0</v>
      </c>
      <c r="EO77" s="1">
        <v>0</v>
      </c>
      <c r="EP77" s="1">
        <v>0</v>
      </c>
      <c r="EQ77" s="1">
        <v>0</v>
      </c>
      <c r="ER77" s="1">
        <v>0</v>
      </c>
      <c r="ES77" s="1">
        <v>0</v>
      </c>
      <c r="ET77" s="1">
        <v>0</v>
      </c>
      <c r="EU77" s="1">
        <v>0</v>
      </c>
      <c r="EV77" s="1">
        <v>0</v>
      </c>
      <c r="EW77" s="1">
        <v>0</v>
      </c>
      <c r="EX77" s="1">
        <v>0</v>
      </c>
      <c r="EY77" s="1">
        <v>0</v>
      </c>
      <c r="EZ77" s="1">
        <v>0</v>
      </c>
      <c r="FA77" s="1">
        <v>0</v>
      </c>
      <c r="FB77" s="1">
        <v>0</v>
      </c>
      <c r="FC77" s="1">
        <v>0</v>
      </c>
      <c r="FD77" s="1">
        <v>0</v>
      </c>
      <c r="FE77" s="1">
        <f t="shared" si="35"/>
        <v>0</v>
      </c>
    </row>
    <row r="78" spans="5:161" ht="15.75" thickBot="1" x14ac:dyDescent="0.3">
      <c r="F78">
        <f>F77/9</f>
        <v>64.222222222222229</v>
      </c>
      <c r="H78" s="1" t="s">
        <v>19</v>
      </c>
      <c r="I78" s="2">
        <v>27.940120400000001</v>
      </c>
      <c r="J78" s="2">
        <v>-12.9249934</v>
      </c>
      <c r="K78" s="1">
        <f t="shared" si="36"/>
        <v>12.799750689223488</v>
      </c>
      <c r="L78" s="1">
        <f t="shared" si="39"/>
        <v>12.371608720155496</v>
      </c>
      <c r="M78" s="1">
        <f t="shared" si="39"/>
        <v>11.849631424406359</v>
      </c>
      <c r="N78" s="1">
        <f t="shared" si="39"/>
        <v>12.50870361967217</v>
      </c>
      <c r="O78" s="1">
        <f t="shared" si="39"/>
        <v>12.691665268994848</v>
      </c>
      <c r="P78" s="1">
        <f t="shared" si="39"/>
        <v>11.451748752465445</v>
      </c>
      <c r="Q78" s="1">
        <f t="shared" si="39"/>
        <v>11.345695448700015</v>
      </c>
      <c r="R78" s="1">
        <f t="shared" si="39"/>
        <v>6.1601028411602705</v>
      </c>
      <c r="S78" s="1">
        <f t="shared" si="39"/>
        <v>5.509975795202755</v>
      </c>
      <c r="T78" s="1">
        <f t="shared" si="39"/>
        <v>4.7678420123629142</v>
      </c>
      <c r="U78" s="1">
        <f t="shared" si="39"/>
        <v>6.8831403072731057</v>
      </c>
      <c r="V78" s="1">
        <f t="shared" si="39"/>
        <v>4.7708544218230848</v>
      </c>
      <c r="W78" s="1">
        <f t="shared" si="39"/>
        <v>12.84224914465271</v>
      </c>
      <c r="X78" s="1">
        <f t="shared" si="39"/>
        <v>5.6880697096413178</v>
      </c>
      <c r="Y78" s="1">
        <f t="shared" si="39"/>
        <v>6.1508877071668042</v>
      </c>
      <c r="Z78" s="1">
        <f t="shared" si="39"/>
        <v>9.381229608681755</v>
      </c>
      <c r="AA78" s="1">
        <f t="shared" si="39"/>
        <v>6.7119204016009393</v>
      </c>
      <c r="AB78" s="1">
        <f t="shared" si="39"/>
        <v>9.4586231184375062</v>
      </c>
      <c r="AC78" s="1">
        <f t="shared" si="39"/>
        <v>8.2154595364736895</v>
      </c>
      <c r="AD78" s="1">
        <f t="shared" si="39"/>
        <v>7.479292488764731</v>
      </c>
      <c r="AE78" s="1">
        <f t="shared" si="39"/>
        <v>9.9846112884863807</v>
      </c>
      <c r="AF78" s="1">
        <f t="shared" si="39"/>
        <v>9.4947725092248927</v>
      </c>
      <c r="AG78" s="1">
        <f t="shared" si="39"/>
        <v>9.402044981921696</v>
      </c>
      <c r="AH78" s="1">
        <f t="shared" si="39"/>
        <v>9.6090907812097548</v>
      </c>
      <c r="AI78" s="1">
        <f t="shared" si="39"/>
        <v>9.8885568938564692</v>
      </c>
      <c r="AJ78" s="1">
        <f t="shared" si="39"/>
        <v>10.00527495276549</v>
      </c>
      <c r="AK78" s="1">
        <f t="shared" si="39"/>
        <v>9.8275702612172573</v>
      </c>
      <c r="AL78" s="1">
        <f t="shared" si="39"/>
        <v>10.594612200418274</v>
      </c>
      <c r="AM78" s="1">
        <f t="shared" si="39"/>
        <v>10.910535655201789</v>
      </c>
      <c r="AN78" s="1">
        <f t="shared" si="39"/>
        <v>3.0524679581640055</v>
      </c>
      <c r="AO78" s="1">
        <f t="shared" si="39"/>
        <v>3.9109060668044751</v>
      </c>
      <c r="AP78" s="1">
        <f t="shared" si="39"/>
        <v>1.8928598122542308</v>
      </c>
      <c r="AQ78" s="1">
        <f t="shared" si="39"/>
        <v>3.106784989099832</v>
      </c>
      <c r="AR78" s="1">
        <f t="shared" si="39"/>
        <v>10.589758596805403</v>
      </c>
      <c r="AS78" s="1">
        <f t="shared" si="39"/>
        <v>10.851026427232938</v>
      </c>
      <c r="AT78" s="1">
        <f t="shared" si="39"/>
        <v>10.734572291961648</v>
      </c>
      <c r="AU78" s="1">
        <f t="shared" si="39"/>
        <v>10.678431870403619</v>
      </c>
      <c r="AV78" s="1">
        <f t="shared" si="39"/>
        <v>9.9246021295402773</v>
      </c>
      <c r="AW78" s="1">
        <f t="shared" si="39"/>
        <v>11.587471322904566</v>
      </c>
      <c r="AX78" s="1">
        <f t="shared" si="39"/>
        <v>10.524703888259205</v>
      </c>
      <c r="AY78" s="1">
        <f t="shared" si="39"/>
        <v>10.049106109085509</v>
      </c>
      <c r="AZ78" s="1">
        <f t="shared" si="39"/>
        <v>4.1449552659292221</v>
      </c>
      <c r="BA78" s="1">
        <f t="shared" si="39"/>
        <v>4.1540254269565962</v>
      </c>
      <c r="BB78" s="1">
        <f t="shared" si="39"/>
        <v>4.1443481573951182</v>
      </c>
      <c r="BC78" s="1">
        <f t="shared" si="39"/>
        <v>4.7830979229426855</v>
      </c>
      <c r="BD78" s="1">
        <f t="shared" si="39"/>
        <v>3.6458374362297841</v>
      </c>
      <c r="BE78" s="1">
        <f t="shared" si="39"/>
        <v>5.2743236814537129</v>
      </c>
      <c r="BF78" s="1">
        <f t="shared" si="39"/>
        <v>7.7533750817602654</v>
      </c>
      <c r="BG78" s="1">
        <f t="shared" si="39"/>
        <v>7.9857289385216434</v>
      </c>
      <c r="BH78" s="1">
        <f t="shared" si="39"/>
        <v>6.8991841150050437</v>
      </c>
      <c r="BI78" s="1">
        <f t="shared" si="39"/>
        <v>7.5987464937747164</v>
      </c>
      <c r="BJ78" s="1">
        <f t="shared" si="39"/>
        <v>7.7231926271787312</v>
      </c>
      <c r="BK78" s="1">
        <f t="shared" si="39"/>
        <v>8.1171550077963897</v>
      </c>
      <c r="BL78" s="1">
        <f t="shared" si="39"/>
        <v>7.5458288772392139</v>
      </c>
      <c r="BM78" s="1">
        <f t="shared" si="39"/>
        <v>7.3328719131650271</v>
      </c>
      <c r="BN78" s="1">
        <f t="shared" si="39"/>
        <v>6.5151645601451653</v>
      </c>
      <c r="BO78" s="1">
        <f t="shared" si="39"/>
        <v>5.106105086803602</v>
      </c>
      <c r="BP78" s="1">
        <f t="shared" si="39"/>
        <v>6.0614463682355817</v>
      </c>
      <c r="BQ78" s="1">
        <f t="shared" si="39"/>
        <v>7.9053506019885855</v>
      </c>
      <c r="BR78" s="1">
        <f t="shared" si="39"/>
        <v>7.5895636296568085</v>
      </c>
      <c r="BS78" s="1">
        <f t="shared" si="39"/>
        <v>7.5982164980031</v>
      </c>
      <c r="BT78" s="1">
        <f t="shared" si="39"/>
        <v>8.8088895417056357</v>
      </c>
      <c r="BU78" s="1">
        <f t="shared" si="39"/>
        <v>7.7875651873267113</v>
      </c>
      <c r="BV78" s="1">
        <f t="shared" si="39"/>
        <v>8.6077621197984779</v>
      </c>
      <c r="BW78" s="1">
        <f t="shared" si="39"/>
        <v>8.6378372420938145</v>
      </c>
      <c r="BX78" s="1">
        <f t="shared" si="38"/>
        <v>8.3834373835211924</v>
      </c>
      <c r="BY78" s="1">
        <f t="shared" si="38"/>
        <v>8.965626352786261</v>
      </c>
      <c r="BZ78" s="1">
        <f t="shared" si="38"/>
        <v>9.0359996325924055</v>
      </c>
      <c r="CA78" s="1">
        <f t="shared" si="38"/>
        <v>9.5683280304115286</v>
      </c>
      <c r="CB78" s="1">
        <f t="shared" si="38"/>
        <v>9.4290883349637742</v>
      </c>
      <c r="CC78" s="1">
        <f t="shared" si="38"/>
        <v>0.83084054734482671</v>
      </c>
      <c r="CD78" s="1">
        <f t="shared" si="38"/>
        <v>2.3914910099891338</v>
      </c>
      <c r="CE78" s="5">
        <v>9999999</v>
      </c>
      <c r="CF78" s="1">
        <f t="shared" si="38"/>
        <v>1.7364611739223332</v>
      </c>
      <c r="CH78" s="1"/>
      <c r="CI78" s="1">
        <f>SUM(CI4:CI77)-1</f>
        <v>9</v>
      </c>
      <c r="CJ78" s="1">
        <f t="shared" ref="CJ78:EU78" si="40">SUM(CJ4:CJ77)-1</f>
        <v>0</v>
      </c>
      <c r="CK78" s="1">
        <f t="shared" si="40"/>
        <v>0</v>
      </c>
      <c r="CL78" s="1">
        <f t="shared" si="40"/>
        <v>0</v>
      </c>
      <c r="CM78" s="1">
        <f t="shared" si="40"/>
        <v>0</v>
      </c>
      <c r="CN78" s="1">
        <f t="shared" si="40"/>
        <v>0</v>
      </c>
      <c r="CO78" s="1">
        <f t="shared" si="40"/>
        <v>0</v>
      </c>
      <c r="CP78" s="1">
        <f t="shared" si="40"/>
        <v>0</v>
      </c>
      <c r="CQ78" s="1">
        <f t="shared" si="40"/>
        <v>0</v>
      </c>
      <c r="CR78" s="1">
        <f t="shared" si="40"/>
        <v>0</v>
      </c>
      <c r="CS78" s="1">
        <f t="shared" si="40"/>
        <v>0</v>
      </c>
      <c r="CT78" s="1">
        <f t="shared" si="40"/>
        <v>0</v>
      </c>
      <c r="CU78" s="1">
        <f t="shared" si="40"/>
        <v>0</v>
      </c>
      <c r="CV78" s="1">
        <f t="shared" si="40"/>
        <v>0</v>
      </c>
      <c r="CW78" s="1">
        <f t="shared" si="40"/>
        <v>0</v>
      </c>
      <c r="CX78" s="1">
        <f t="shared" si="40"/>
        <v>0</v>
      </c>
      <c r="CY78" s="1">
        <f t="shared" si="40"/>
        <v>0</v>
      </c>
      <c r="CZ78" s="1">
        <f t="shared" si="40"/>
        <v>0</v>
      </c>
      <c r="DA78" s="1">
        <f t="shared" si="40"/>
        <v>0</v>
      </c>
      <c r="DB78" s="1">
        <f t="shared" si="40"/>
        <v>0</v>
      </c>
      <c r="DC78" s="1">
        <f t="shared" si="40"/>
        <v>0</v>
      </c>
      <c r="DD78" s="1">
        <f t="shared" si="40"/>
        <v>0</v>
      </c>
      <c r="DE78" s="1">
        <f t="shared" si="40"/>
        <v>0</v>
      </c>
      <c r="DF78" s="1">
        <f t="shared" si="40"/>
        <v>0</v>
      </c>
      <c r="DG78" s="1">
        <f t="shared" si="40"/>
        <v>0</v>
      </c>
      <c r="DH78" s="1">
        <f t="shared" si="40"/>
        <v>0</v>
      </c>
      <c r="DI78" s="1">
        <f t="shared" si="40"/>
        <v>0</v>
      </c>
      <c r="DJ78" s="1">
        <f t="shared" si="40"/>
        <v>0</v>
      </c>
      <c r="DK78" s="1">
        <f t="shared" si="40"/>
        <v>0</v>
      </c>
      <c r="DL78" s="1">
        <f t="shared" si="40"/>
        <v>0</v>
      </c>
      <c r="DM78" s="1">
        <f t="shared" si="40"/>
        <v>0</v>
      </c>
      <c r="DN78" s="1">
        <f t="shared" si="40"/>
        <v>0</v>
      </c>
      <c r="DO78" s="1">
        <f t="shared" si="40"/>
        <v>0</v>
      </c>
      <c r="DP78" s="1">
        <f t="shared" si="40"/>
        <v>0</v>
      </c>
      <c r="DQ78" s="1">
        <f t="shared" si="40"/>
        <v>0</v>
      </c>
      <c r="DR78" s="1">
        <f t="shared" si="40"/>
        <v>0</v>
      </c>
      <c r="DS78" s="1">
        <f t="shared" si="40"/>
        <v>0</v>
      </c>
      <c r="DT78" s="1">
        <f t="shared" si="40"/>
        <v>0</v>
      </c>
      <c r="DU78" s="1">
        <f t="shared" si="40"/>
        <v>0</v>
      </c>
      <c r="DV78" s="1">
        <f t="shared" si="40"/>
        <v>0</v>
      </c>
      <c r="DW78" s="1">
        <f t="shared" si="40"/>
        <v>0</v>
      </c>
      <c r="DX78" s="1">
        <f t="shared" si="40"/>
        <v>0</v>
      </c>
      <c r="DY78" s="1">
        <f t="shared" si="40"/>
        <v>0</v>
      </c>
      <c r="DZ78" s="1">
        <f t="shared" si="40"/>
        <v>0</v>
      </c>
      <c r="EA78" s="1">
        <f t="shared" si="40"/>
        <v>0</v>
      </c>
      <c r="EB78" s="1">
        <f t="shared" si="40"/>
        <v>0</v>
      </c>
      <c r="EC78" s="1">
        <f t="shared" si="40"/>
        <v>0</v>
      </c>
      <c r="ED78" s="1">
        <f t="shared" si="40"/>
        <v>0</v>
      </c>
      <c r="EE78" s="1">
        <f t="shared" si="40"/>
        <v>0</v>
      </c>
      <c r="EF78" s="1">
        <f t="shared" si="40"/>
        <v>0</v>
      </c>
      <c r="EG78" s="1">
        <f t="shared" si="40"/>
        <v>0</v>
      </c>
      <c r="EH78" s="1">
        <f t="shared" si="40"/>
        <v>0</v>
      </c>
      <c r="EI78" s="1">
        <f t="shared" si="40"/>
        <v>0</v>
      </c>
      <c r="EJ78" s="1">
        <f t="shared" si="40"/>
        <v>0</v>
      </c>
      <c r="EK78" s="1">
        <f t="shared" si="40"/>
        <v>0</v>
      </c>
      <c r="EL78" s="1">
        <f t="shared" si="40"/>
        <v>0</v>
      </c>
      <c r="EM78" s="1">
        <f t="shared" si="40"/>
        <v>0</v>
      </c>
      <c r="EN78" s="1">
        <f t="shared" si="40"/>
        <v>0</v>
      </c>
      <c r="EO78" s="1">
        <f t="shared" si="40"/>
        <v>0</v>
      </c>
      <c r="EP78" s="1">
        <f t="shared" si="40"/>
        <v>0</v>
      </c>
      <c r="EQ78" s="1">
        <f t="shared" si="40"/>
        <v>0</v>
      </c>
      <c r="ER78" s="1">
        <f t="shared" si="40"/>
        <v>0</v>
      </c>
      <c r="ES78" s="1">
        <f t="shared" si="40"/>
        <v>0</v>
      </c>
      <c r="ET78" s="1">
        <f t="shared" si="40"/>
        <v>0</v>
      </c>
      <c r="EU78" s="1">
        <f t="shared" si="40"/>
        <v>0</v>
      </c>
      <c r="EV78" s="1">
        <f t="shared" ref="EV78:FD78" si="41">SUM(EV4:EV77)-1</f>
        <v>0</v>
      </c>
      <c r="EW78" s="1">
        <f t="shared" si="41"/>
        <v>0</v>
      </c>
      <c r="EX78" s="1">
        <f t="shared" si="41"/>
        <v>0</v>
      </c>
      <c r="EY78" s="1">
        <f t="shared" si="41"/>
        <v>0</v>
      </c>
      <c r="EZ78" s="1">
        <f t="shared" si="41"/>
        <v>0</v>
      </c>
      <c r="FA78" s="1">
        <f t="shared" si="41"/>
        <v>0</v>
      </c>
      <c r="FB78" s="1">
        <f t="shared" si="41"/>
        <v>0</v>
      </c>
      <c r="FC78" s="1">
        <f t="shared" si="41"/>
        <v>0</v>
      </c>
      <c r="FD78" s="1">
        <f t="shared" si="41"/>
        <v>0</v>
      </c>
      <c r="FE78" s="1"/>
    </row>
    <row r="79" spans="5:161" ht="15.75" thickBot="1" x14ac:dyDescent="0.3">
      <c r="H79" s="1" t="s">
        <v>20</v>
      </c>
      <c r="I79" s="2">
        <v>26.74</v>
      </c>
      <c r="J79" s="2">
        <v>-11.67</v>
      </c>
      <c r="K79" s="1">
        <f t="shared" si="36"/>
        <v>12.476682946581279</v>
      </c>
      <c r="L79" s="1">
        <f t="shared" si="39"/>
        <v>12.18126293786738</v>
      </c>
      <c r="M79" s="1">
        <f t="shared" si="39"/>
        <v>11.678567496642087</v>
      </c>
      <c r="N79" s="1">
        <f t="shared" si="39"/>
        <v>12.155387243621735</v>
      </c>
      <c r="O79" s="1">
        <f t="shared" si="39"/>
        <v>12.420479120224631</v>
      </c>
      <c r="P79" s="1">
        <f t="shared" si="39"/>
        <v>11.190050614309168</v>
      </c>
      <c r="Q79" s="1">
        <f t="shared" si="39"/>
        <v>10.832159873537153</v>
      </c>
      <c r="R79" s="1">
        <f t="shared" si="39"/>
        <v>6.1171782700062902</v>
      </c>
      <c r="S79" s="1">
        <f t="shared" si="39"/>
        <v>5.6193469956468558</v>
      </c>
      <c r="T79" s="1">
        <f t="shared" si="39"/>
        <v>5.137985436244672</v>
      </c>
      <c r="U79" s="1">
        <f t="shared" si="39"/>
        <v>6.8130256601967982</v>
      </c>
      <c r="V79" s="1">
        <f t="shared" si="39"/>
        <v>5.1391110942753224</v>
      </c>
      <c r="W79" s="1">
        <f t="shared" si="39"/>
        <v>12.555484893437423</v>
      </c>
      <c r="X79" s="1">
        <f t="shared" si="39"/>
        <v>6.0396505788186268</v>
      </c>
      <c r="Y79" s="1">
        <f t="shared" si="39"/>
        <v>6.3370445540742431</v>
      </c>
      <c r="Z79" s="1">
        <f t="shared" si="39"/>
        <v>8.9042221875935645</v>
      </c>
      <c r="AA79" s="1">
        <f t="shared" si="39"/>
        <v>6.3342582366981235</v>
      </c>
      <c r="AB79" s="1">
        <f t="shared" si="39"/>
        <v>9.1276530428702198</v>
      </c>
      <c r="AC79" s="1">
        <f t="shared" si="39"/>
        <v>7.7811582687795271</v>
      </c>
      <c r="AD79" s="1">
        <f t="shared" si="39"/>
        <v>6.8480845939975081</v>
      </c>
      <c r="AE79" s="1">
        <f t="shared" si="39"/>
        <v>9.8734553800797809</v>
      </c>
      <c r="AF79" s="1">
        <f t="shared" si="39"/>
        <v>9.4292005825689849</v>
      </c>
      <c r="AG79" s="1">
        <f t="shared" si="39"/>
        <v>9.3049067824023126</v>
      </c>
      <c r="AH79" s="1">
        <f t="shared" si="39"/>
        <v>9.4413555909355011</v>
      </c>
      <c r="AI79" s="1">
        <f t="shared" si="39"/>
        <v>9.8037095035628763</v>
      </c>
      <c r="AJ79" s="1">
        <f t="shared" si="39"/>
        <v>9.8455956812830774</v>
      </c>
      <c r="AK79" s="1">
        <f t="shared" si="39"/>
        <v>9.5939652740067309</v>
      </c>
      <c r="AL79" s="1">
        <f t="shared" si="39"/>
        <v>10.502069716518362</v>
      </c>
      <c r="AM79" s="1">
        <f t="shared" si="39"/>
        <v>10.713376155761594</v>
      </c>
      <c r="AN79" s="1">
        <f t="shared" si="39"/>
        <v>2.765250806616113</v>
      </c>
      <c r="AO79" s="1">
        <f t="shared" si="39"/>
        <v>2.7055516376748483</v>
      </c>
      <c r="AP79" s="1">
        <f t="shared" si="39"/>
        <v>1.7911200441916253</v>
      </c>
      <c r="AQ79" s="1">
        <f t="shared" si="39"/>
        <v>3.0348468153589452</v>
      </c>
      <c r="AR79" s="1">
        <f t="shared" si="39"/>
        <v>10.774701610000978</v>
      </c>
      <c r="AS79" s="1">
        <f t="shared" si="39"/>
        <v>10.966555994730308</v>
      </c>
      <c r="AT79" s="1">
        <f t="shared" si="39"/>
        <v>10.84472733951789</v>
      </c>
      <c r="AU79" s="1">
        <f t="shared" si="39"/>
        <v>10.842333062157605</v>
      </c>
      <c r="AV79" s="1">
        <f t="shared" si="39"/>
        <v>10.095999652175028</v>
      </c>
      <c r="AW79" s="1">
        <f t="shared" si="39"/>
        <v>11.499638468560308</v>
      </c>
      <c r="AX79" s="1">
        <f t="shared" si="39"/>
        <v>10.580223102037161</v>
      </c>
      <c r="AY79" s="1">
        <f t="shared" si="39"/>
        <v>10.100385680165784</v>
      </c>
      <c r="AZ79" s="1">
        <f t="shared" si="39"/>
        <v>4.2208965000469609</v>
      </c>
      <c r="BA79" s="1">
        <f t="shared" si="39"/>
        <v>4.1939513274780031</v>
      </c>
      <c r="BB79" s="1">
        <f t="shared" si="39"/>
        <v>4.017427526695923</v>
      </c>
      <c r="BC79" s="1">
        <f t="shared" si="39"/>
        <v>4.6673993208686717</v>
      </c>
      <c r="BD79" s="1">
        <f t="shared" si="39"/>
        <v>3.5372426260603405</v>
      </c>
      <c r="BE79" s="1">
        <f t="shared" si="39"/>
        <v>4.7677369132126008</v>
      </c>
      <c r="BF79" s="1">
        <f t="shared" si="39"/>
        <v>7.961572559527041</v>
      </c>
      <c r="BG79" s="1">
        <f t="shared" si="39"/>
        <v>8.1674860853092071</v>
      </c>
      <c r="BH79" s="1">
        <f t="shared" si="39"/>
        <v>7.2259452180497883</v>
      </c>
      <c r="BI79" s="1">
        <f t="shared" si="39"/>
        <v>7.7777755988213668</v>
      </c>
      <c r="BJ79" s="1">
        <f t="shared" si="39"/>
        <v>7.8952628714059321</v>
      </c>
      <c r="BK79" s="1">
        <f t="shared" si="39"/>
        <v>8.2441636694388993</v>
      </c>
      <c r="BL79" s="1">
        <f t="shared" si="39"/>
        <v>7.7025488396989363</v>
      </c>
      <c r="BM79" s="1">
        <f t="shared" si="39"/>
        <v>7.457961752603592</v>
      </c>
      <c r="BN79" s="1">
        <f t="shared" si="39"/>
        <v>6.7433279554169969</v>
      </c>
      <c r="BO79" s="1">
        <f t="shared" si="39"/>
        <v>4.8135431204933479</v>
      </c>
      <c r="BP79" s="1">
        <f t="shared" si="39"/>
        <v>5.4303157722511068</v>
      </c>
      <c r="BQ79" s="1">
        <f t="shared" si="39"/>
        <v>7.717637076429158</v>
      </c>
      <c r="BR79" s="1">
        <f t="shared" si="39"/>
        <v>7.3316620363982521</v>
      </c>
      <c r="BS79" s="1">
        <f t="shared" si="39"/>
        <v>7.5153039585525701</v>
      </c>
      <c r="BT79" s="1">
        <f t="shared" si="39"/>
        <v>8.6250671603121667</v>
      </c>
      <c r="BU79" s="1">
        <f t="shared" si="39"/>
        <v>7.7738100953591633</v>
      </c>
      <c r="BV79" s="1">
        <f t="shared" si="39"/>
        <v>8.7418218039315381</v>
      </c>
      <c r="BW79" s="1">
        <f t="shared" ref="BW79:CF79" si="42">SQRT(POWER($I79-BW$4,2)+POWER(BW$5-$J79,2))</f>
        <v>8.7716574373723688</v>
      </c>
      <c r="BX79" s="1">
        <f t="shared" si="42"/>
        <v>8.4889723115160045</v>
      </c>
      <c r="BY79" s="1">
        <f t="shared" si="42"/>
        <v>9.0899631414797835</v>
      </c>
      <c r="BZ79" s="1">
        <f t="shared" si="42"/>
        <v>9.0334379130203803</v>
      </c>
      <c r="CA79" s="1">
        <f t="shared" si="42"/>
        <v>9.5682220610780178</v>
      </c>
      <c r="CB79" s="1">
        <f t="shared" si="42"/>
        <v>9.4619082769224203</v>
      </c>
      <c r="CC79" s="1">
        <f t="shared" si="42"/>
        <v>1.5807090993874902</v>
      </c>
      <c r="CD79" s="1">
        <f t="shared" si="42"/>
        <v>2.8797965968506394</v>
      </c>
      <c r="CE79" s="1">
        <f t="shared" si="42"/>
        <v>1.7364611739223332</v>
      </c>
      <c r="CF79" s="5">
        <v>9999999</v>
      </c>
    </row>
    <row r="81" spans="8:163" ht="15.75" thickBot="1" x14ac:dyDescent="0.3"/>
    <row r="82" spans="8:163" ht="15.75" thickBot="1" x14ac:dyDescent="0.3">
      <c r="H82" s="1" t="s">
        <v>9</v>
      </c>
      <c r="I82" s="1" t="s">
        <v>4</v>
      </c>
      <c r="J82" s="1" t="s">
        <v>5</v>
      </c>
      <c r="K82" s="1" t="s">
        <v>6</v>
      </c>
      <c r="L82" s="1" t="s">
        <v>7</v>
      </c>
      <c r="M82" s="1" t="s">
        <v>13</v>
      </c>
      <c r="N82" s="1" t="s">
        <v>21</v>
      </c>
      <c r="O82" s="1" t="s">
        <v>22</v>
      </c>
      <c r="P82" s="1" t="s">
        <v>23</v>
      </c>
      <c r="Q82" s="1" t="s">
        <v>24</v>
      </c>
      <c r="R82" s="1" t="s">
        <v>25</v>
      </c>
      <c r="S82" s="1" t="s">
        <v>26</v>
      </c>
      <c r="T82" s="1" t="s">
        <v>27</v>
      </c>
      <c r="U82" s="1" t="s">
        <v>28</v>
      </c>
      <c r="V82" s="1" t="s">
        <v>29</v>
      </c>
      <c r="W82" s="1" t="s">
        <v>30</v>
      </c>
      <c r="X82" s="1" t="s">
        <v>31</v>
      </c>
      <c r="Y82" s="1" t="s">
        <v>32</v>
      </c>
      <c r="Z82" s="1" t="s">
        <v>33</v>
      </c>
      <c r="AA82" s="1" t="s">
        <v>34</v>
      </c>
      <c r="AB82" s="1" t="s">
        <v>35</v>
      </c>
      <c r="AC82" s="1" t="s">
        <v>36</v>
      </c>
      <c r="AD82" s="1" t="s">
        <v>37</v>
      </c>
      <c r="AE82" s="1" t="s">
        <v>38</v>
      </c>
      <c r="AF82" s="1" t="s">
        <v>39</v>
      </c>
      <c r="AG82" s="1" t="s">
        <v>40</v>
      </c>
      <c r="AH82" s="1" t="s">
        <v>41</v>
      </c>
      <c r="AI82" s="1" t="s">
        <v>42</v>
      </c>
      <c r="AJ82" s="1" t="s">
        <v>43</v>
      </c>
      <c r="AK82" s="1" t="s">
        <v>44</v>
      </c>
      <c r="AL82" s="1" t="s">
        <v>45</v>
      </c>
      <c r="AM82" s="1" t="s">
        <v>46</v>
      </c>
      <c r="AN82" s="1" t="s">
        <v>47</v>
      </c>
      <c r="AO82" s="1" t="s">
        <v>48</v>
      </c>
      <c r="AP82" s="1" t="s">
        <v>49</v>
      </c>
      <c r="AQ82" s="1" t="s">
        <v>50</v>
      </c>
      <c r="AR82" s="1" t="s">
        <v>51</v>
      </c>
      <c r="AS82" s="1" t="s">
        <v>52</v>
      </c>
      <c r="AT82" s="1" t="s">
        <v>53</v>
      </c>
      <c r="AU82" s="1" t="s">
        <v>54</v>
      </c>
      <c r="AV82" s="1" t="s">
        <v>55</v>
      </c>
      <c r="AW82" s="1" t="s">
        <v>56</v>
      </c>
      <c r="AX82" s="1" t="s">
        <v>57</v>
      </c>
      <c r="AY82" s="1" t="s">
        <v>58</v>
      </c>
      <c r="AZ82" s="1" t="s">
        <v>59</v>
      </c>
      <c r="BA82" s="1" t="s">
        <v>60</v>
      </c>
      <c r="BB82" s="1" t="s">
        <v>61</v>
      </c>
      <c r="BC82" s="1" t="s">
        <v>62</v>
      </c>
      <c r="BD82" s="1" t="s">
        <v>63</v>
      </c>
      <c r="BE82" s="1" t="s">
        <v>64</v>
      </c>
      <c r="BF82" s="1" t="s">
        <v>65</v>
      </c>
      <c r="BG82" s="1" t="s">
        <v>66</v>
      </c>
      <c r="BH82" s="1" t="s">
        <v>67</v>
      </c>
      <c r="BI82" s="1" t="s">
        <v>68</v>
      </c>
      <c r="BJ82" s="1" t="s">
        <v>69</v>
      </c>
      <c r="BK82" s="1" t="s">
        <v>70</v>
      </c>
      <c r="BL82" s="1" t="s">
        <v>71</v>
      </c>
      <c r="BM82" s="1" t="s">
        <v>72</v>
      </c>
      <c r="BN82" s="1" t="s">
        <v>73</v>
      </c>
      <c r="BO82" s="1" t="s">
        <v>74</v>
      </c>
      <c r="BP82" s="1" t="s">
        <v>75</v>
      </c>
      <c r="BQ82" s="1" t="s">
        <v>76</v>
      </c>
      <c r="BR82" s="1" t="s">
        <v>77</v>
      </c>
      <c r="BS82" s="1" t="s">
        <v>78</v>
      </c>
      <c r="BT82" s="1" t="s">
        <v>79</v>
      </c>
      <c r="BU82" s="1" t="s">
        <v>80</v>
      </c>
      <c r="BV82" s="1" t="s">
        <v>81</v>
      </c>
      <c r="BW82" s="1" t="s">
        <v>82</v>
      </c>
      <c r="BX82" s="1" t="s">
        <v>83</v>
      </c>
      <c r="BY82" s="1" t="s">
        <v>84</v>
      </c>
      <c r="BZ82" s="1" t="s">
        <v>85</v>
      </c>
      <c r="CA82" s="1" t="s">
        <v>86</v>
      </c>
      <c r="CB82" s="1" t="s">
        <v>87</v>
      </c>
      <c r="CC82" s="1" t="s">
        <v>88</v>
      </c>
      <c r="CD82" s="1" t="s">
        <v>89</v>
      </c>
      <c r="CE82" s="1"/>
      <c r="CH82" s="1" t="s">
        <v>10</v>
      </c>
      <c r="CI82" s="1" t="s">
        <v>4</v>
      </c>
      <c r="CJ82" s="1" t="s">
        <v>5</v>
      </c>
      <c r="CK82" s="1" t="s">
        <v>6</v>
      </c>
      <c r="CL82" s="1" t="s">
        <v>7</v>
      </c>
      <c r="CM82" s="1" t="s">
        <v>13</v>
      </c>
      <c r="CN82" s="1" t="s">
        <v>21</v>
      </c>
      <c r="CO82" s="1" t="s">
        <v>22</v>
      </c>
      <c r="CP82" s="1" t="s">
        <v>23</v>
      </c>
      <c r="CQ82" s="1" t="s">
        <v>24</v>
      </c>
      <c r="CR82" s="1" t="s">
        <v>25</v>
      </c>
      <c r="CS82" s="1" t="s">
        <v>26</v>
      </c>
      <c r="CT82" s="1" t="s">
        <v>27</v>
      </c>
      <c r="CU82" s="1" t="s">
        <v>28</v>
      </c>
      <c r="CV82" s="1" t="s">
        <v>29</v>
      </c>
      <c r="CW82" s="1" t="s">
        <v>30</v>
      </c>
      <c r="CX82" s="1" t="s">
        <v>31</v>
      </c>
      <c r="CY82" s="1" t="s">
        <v>32</v>
      </c>
      <c r="CZ82" s="1" t="s">
        <v>33</v>
      </c>
      <c r="DA82" s="1" t="s">
        <v>34</v>
      </c>
      <c r="DB82" s="1" t="s">
        <v>35</v>
      </c>
      <c r="DC82" s="1" t="s">
        <v>36</v>
      </c>
      <c r="DD82" s="1" t="s">
        <v>37</v>
      </c>
      <c r="DE82" s="1" t="s">
        <v>38</v>
      </c>
      <c r="DF82" s="1" t="s">
        <v>39</v>
      </c>
      <c r="DG82" s="1" t="s">
        <v>40</v>
      </c>
      <c r="DH82" s="1" t="s">
        <v>41</v>
      </c>
      <c r="DI82" s="1" t="s">
        <v>42</v>
      </c>
      <c r="DJ82" s="1" t="s">
        <v>43</v>
      </c>
      <c r="DK82" s="1" t="s">
        <v>44</v>
      </c>
      <c r="DL82" s="1" t="s">
        <v>45</v>
      </c>
      <c r="DM82" s="1" t="s">
        <v>46</v>
      </c>
      <c r="DN82" s="1" t="s">
        <v>47</v>
      </c>
      <c r="DO82" s="1" t="s">
        <v>48</v>
      </c>
      <c r="DP82" s="1" t="s">
        <v>49</v>
      </c>
      <c r="DQ82" s="1" t="s">
        <v>50</v>
      </c>
      <c r="DR82" s="1" t="s">
        <v>51</v>
      </c>
      <c r="DS82" s="1" t="s">
        <v>52</v>
      </c>
      <c r="DT82" s="1" t="s">
        <v>53</v>
      </c>
      <c r="DU82" s="1" t="s">
        <v>54</v>
      </c>
      <c r="DV82" s="1" t="s">
        <v>55</v>
      </c>
      <c r="DW82" s="1" t="s">
        <v>56</v>
      </c>
      <c r="DX82" s="1" t="s">
        <v>57</v>
      </c>
      <c r="DY82" s="1" t="s">
        <v>58</v>
      </c>
      <c r="DZ82" s="1" t="s">
        <v>59</v>
      </c>
      <c r="EA82" s="1" t="s">
        <v>60</v>
      </c>
      <c r="EB82" s="1" t="s">
        <v>61</v>
      </c>
      <c r="EC82" s="1" t="s">
        <v>62</v>
      </c>
      <c r="ED82" s="1" t="s">
        <v>63</v>
      </c>
      <c r="EE82" s="1" t="s">
        <v>64</v>
      </c>
      <c r="EF82" s="1" t="s">
        <v>65</v>
      </c>
      <c r="EG82" s="1" t="s">
        <v>66</v>
      </c>
      <c r="EH82" s="1" t="s">
        <v>67</v>
      </c>
      <c r="EI82" s="1" t="s">
        <v>68</v>
      </c>
      <c r="EJ82" s="1" t="s">
        <v>69</v>
      </c>
      <c r="EK82" s="1" t="s">
        <v>70</v>
      </c>
      <c r="EL82" s="1" t="s">
        <v>71</v>
      </c>
      <c r="EM82" s="1" t="s">
        <v>72</v>
      </c>
      <c r="EN82" s="1" t="s">
        <v>73</v>
      </c>
      <c r="EO82" s="1" t="s">
        <v>74</v>
      </c>
      <c r="EP82" s="1" t="s">
        <v>75</v>
      </c>
      <c r="EQ82" s="1" t="s">
        <v>76</v>
      </c>
      <c r="ER82" s="1" t="s">
        <v>77</v>
      </c>
      <c r="ES82" s="1" t="s">
        <v>78</v>
      </c>
      <c r="ET82" s="1" t="s">
        <v>79</v>
      </c>
      <c r="EU82" s="1" t="s">
        <v>80</v>
      </c>
      <c r="EV82" s="1" t="s">
        <v>81</v>
      </c>
      <c r="EW82" s="1" t="s">
        <v>82</v>
      </c>
      <c r="EX82" s="1" t="s">
        <v>83</v>
      </c>
      <c r="EY82" s="1" t="s">
        <v>84</v>
      </c>
      <c r="EZ82" s="1" t="s">
        <v>85</v>
      </c>
      <c r="FA82" s="1" t="s">
        <v>86</v>
      </c>
      <c r="FB82" s="1" t="s">
        <v>87</v>
      </c>
      <c r="FC82" s="1" t="s">
        <v>88</v>
      </c>
      <c r="FD82" s="1" t="s">
        <v>89</v>
      </c>
      <c r="FE82" s="1"/>
      <c r="FF82" s="1"/>
      <c r="FG82" s="1"/>
    </row>
    <row r="83" spans="8:163" ht="15.75" thickBot="1" x14ac:dyDescent="0.3">
      <c r="H83" s="1" t="s">
        <v>4</v>
      </c>
      <c r="I83" s="1">
        <f>CI83-CI4*$C$2</f>
        <v>0</v>
      </c>
      <c r="J83" s="1">
        <f t="shared" ref="J83:BU86" si="43">CJ83-CJ4*$C$2</f>
        <v>-70</v>
      </c>
      <c r="K83" s="1">
        <f t="shared" si="43"/>
        <v>-70</v>
      </c>
      <c r="L83" s="1">
        <f t="shared" si="43"/>
        <v>-70</v>
      </c>
      <c r="M83" s="1">
        <f t="shared" si="43"/>
        <v>0</v>
      </c>
      <c r="N83" s="1">
        <f t="shared" si="43"/>
        <v>0</v>
      </c>
      <c r="O83" s="1">
        <f t="shared" si="43"/>
        <v>0</v>
      </c>
      <c r="P83" s="1">
        <f t="shared" si="43"/>
        <v>0</v>
      </c>
      <c r="Q83" s="1">
        <f t="shared" si="43"/>
        <v>0</v>
      </c>
      <c r="R83" s="1">
        <f t="shared" si="43"/>
        <v>0</v>
      </c>
      <c r="S83" s="1">
        <f t="shared" si="43"/>
        <v>0</v>
      </c>
      <c r="T83" s="1">
        <f t="shared" si="43"/>
        <v>0</v>
      </c>
      <c r="U83" s="1">
        <f t="shared" si="43"/>
        <v>0</v>
      </c>
      <c r="V83" s="1">
        <f t="shared" si="43"/>
        <v>0</v>
      </c>
      <c r="W83" s="1">
        <f t="shared" si="43"/>
        <v>0</v>
      </c>
      <c r="X83" s="1">
        <f t="shared" si="43"/>
        <v>0</v>
      </c>
      <c r="Y83" s="1">
        <f t="shared" si="43"/>
        <v>0</v>
      </c>
      <c r="Z83" s="1">
        <f t="shared" si="43"/>
        <v>-70</v>
      </c>
      <c r="AA83" s="1">
        <f t="shared" si="43"/>
        <v>0</v>
      </c>
      <c r="AB83" s="1">
        <f t="shared" si="43"/>
        <v>0</v>
      </c>
      <c r="AC83" s="1">
        <f t="shared" si="43"/>
        <v>-70</v>
      </c>
      <c r="AD83" s="1">
        <f t="shared" si="43"/>
        <v>0</v>
      </c>
      <c r="AE83" s="1">
        <f t="shared" si="43"/>
        <v>0</v>
      </c>
      <c r="AF83" s="1">
        <f t="shared" si="43"/>
        <v>0</v>
      </c>
      <c r="AG83" s="1">
        <f t="shared" si="43"/>
        <v>-70</v>
      </c>
      <c r="AH83" s="1">
        <f t="shared" si="43"/>
        <v>-70</v>
      </c>
      <c r="AI83" s="1">
        <f t="shared" si="43"/>
        <v>0</v>
      </c>
      <c r="AJ83" s="1">
        <f t="shared" si="43"/>
        <v>0</v>
      </c>
      <c r="AK83" s="1">
        <f t="shared" si="43"/>
        <v>-70</v>
      </c>
      <c r="AL83" s="1">
        <f t="shared" si="43"/>
        <v>0</v>
      </c>
      <c r="AM83" s="1">
        <f t="shared" si="43"/>
        <v>0</v>
      </c>
      <c r="AN83" s="1">
        <f t="shared" si="43"/>
        <v>0</v>
      </c>
      <c r="AO83" s="1">
        <f t="shared" si="43"/>
        <v>0</v>
      </c>
      <c r="AP83" s="1">
        <f t="shared" si="43"/>
        <v>0</v>
      </c>
      <c r="AQ83" s="1">
        <f t="shared" si="43"/>
        <v>0</v>
      </c>
      <c r="AR83" s="1">
        <f t="shared" si="43"/>
        <v>0</v>
      </c>
      <c r="AS83" s="1">
        <f t="shared" si="43"/>
        <v>0</v>
      </c>
      <c r="AT83" s="1">
        <f t="shared" si="43"/>
        <v>0</v>
      </c>
      <c r="AU83" s="1">
        <f t="shared" si="43"/>
        <v>0</v>
      </c>
      <c r="AV83" s="1">
        <f t="shared" si="43"/>
        <v>0</v>
      </c>
      <c r="AW83" s="1">
        <f t="shared" si="43"/>
        <v>0</v>
      </c>
      <c r="AX83" s="1">
        <f t="shared" si="43"/>
        <v>0</v>
      </c>
      <c r="AY83" s="1">
        <f t="shared" si="43"/>
        <v>0</v>
      </c>
      <c r="AZ83" s="1">
        <f t="shared" si="43"/>
        <v>0</v>
      </c>
      <c r="BA83" s="1">
        <f t="shared" si="43"/>
        <v>0</v>
      </c>
      <c r="BB83" s="1">
        <f t="shared" si="43"/>
        <v>0</v>
      </c>
      <c r="BC83" s="1">
        <f t="shared" si="43"/>
        <v>0</v>
      </c>
      <c r="BD83" s="1">
        <f t="shared" si="43"/>
        <v>0</v>
      </c>
      <c r="BE83" s="1">
        <f t="shared" si="43"/>
        <v>0</v>
      </c>
      <c r="BF83" s="1">
        <f t="shared" si="43"/>
        <v>0</v>
      </c>
      <c r="BG83" s="1">
        <f t="shared" si="43"/>
        <v>0</v>
      </c>
      <c r="BH83" s="1">
        <f t="shared" si="43"/>
        <v>0</v>
      </c>
      <c r="BI83" s="1">
        <f t="shared" si="43"/>
        <v>0</v>
      </c>
      <c r="BJ83" s="1">
        <f t="shared" si="43"/>
        <v>0</v>
      </c>
      <c r="BK83" s="1">
        <f t="shared" si="43"/>
        <v>0</v>
      </c>
      <c r="BL83" s="1">
        <f t="shared" si="43"/>
        <v>0</v>
      </c>
      <c r="BM83" s="1">
        <f t="shared" si="43"/>
        <v>0</v>
      </c>
      <c r="BN83" s="1">
        <f t="shared" si="43"/>
        <v>0</v>
      </c>
      <c r="BO83" s="1">
        <f t="shared" si="43"/>
        <v>0</v>
      </c>
      <c r="BP83" s="1">
        <f t="shared" si="43"/>
        <v>0</v>
      </c>
      <c r="BQ83" s="1">
        <f t="shared" si="43"/>
        <v>-70</v>
      </c>
      <c r="BR83" s="1">
        <f t="shared" si="43"/>
        <v>-70</v>
      </c>
      <c r="BS83" s="1">
        <f t="shared" si="43"/>
        <v>0</v>
      </c>
      <c r="BT83" s="1">
        <f t="shared" si="43"/>
        <v>0</v>
      </c>
      <c r="BU83" s="1">
        <f t="shared" si="43"/>
        <v>0</v>
      </c>
      <c r="BV83" s="1">
        <f t="shared" ref="BV83:CD98" si="44">EV83-EV4*$C$2</f>
        <v>0</v>
      </c>
      <c r="BW83" s="1">
        <f t="shared" si="44"/>
        <v>0</v>
      </c>
      <c r="BX83" s="1">
        <f t="shared" si="44"/>
        <v>0</v>
      </c>
      <c r="BY83" s="1">
        <f t="shared" si="44"/>
        <v>0</v>
      </c>
      <c r="BZ83" s="1">
        <f t="shared" si="44"/>
        <v>0</v>
      </c>
      <c r="CA83" s="1">
        <f t="shared" si="44"/>
        <v>0</v>
      </c>
      <c r="CB83" s="1">
        <f t="shared" si="44"/>
        <v>0</v>
      </c>
      <c r="CC83" s="1">
        <f t="shared" si="44"/>
        <v>0</v>
      </c>
      <c r="CD83" s="1">
        <f t="shared" si="44"/>
        <v>0</v>
      </c>
      <c r="CE83" s="1"/>
      <c r="CH83" s="1" t="s">
        <v>4</v>
      </c>
      <c r="CI83" s="1">
        <v>0</v>
      </c>
      <c r="CJ83" s="1">
        <v>0</v>
      </c>
      <c r="CK83" s="1">
        <v>0</v>
      </c>
      <c r="CL83" s="1">
        <v>0</v>
      </c>
      <c r="CM83" s="1">
        <v>0</v>
      </c>
      <c r="CN83" s="1">
        <v>0</v>
      </c>
      <c r="CO83" s="1">
        <v>0</v>
      </c>
      <c r="CP83" s="1">
        <v>0</v>
      </c>
      <c r="CQ83" s="1">
        <v>0</v>
      </c>
      <c r="CR83" s="1">
        <v>0</v>
      </c>
      <c r="CS83" s="1">
        <v>0</v>
      </c>
      <c r="CT83" s="1">
        <v>0</v>
      </c>
      <c r="CU83" s="1">
        <v>0</v>
      </c>
      <c r="CV83" s="1">
        <v>0</v>
      </c>
      <c r="CW83" s="1">
        <v>0</v>
      </c>
      <c r="CX83" s="1">
        <v>0</v>
      </c>
      <c r="CY83" s="1">
        <v>0</v>
      </c>
      <c r="CZ83" s="1">
        <v>0</v>
      </c>
      <c r="DA83" s="1">
        <v>0</v>
      </c>
      <c r="DB83" s="1">
        <v>0</v>
      </c>
      <c r="DC83" s="1">
        <v>0</v>
      </c>
      <c r="DD83" s="1">
        <v>0</v>
      </c>
      <c r="DE83" s="1">
        <v>0</v>
      </c>
      <c r="DF83" s="1">
        <v>0</v>
      </c>
      <c r="DG83" s="1">
        <v>0</v>
      </c>
      <c r="DH83" s="1">
        <v>0</v>
      </c>
      <c r="DI83" s="1">
        <v>0</v>
      </c>
      <c r="DJ83" s="1">
        <v>0</v>
      </c>
      <c r="DK83" s="1">
        <v>0</v>
      </c>
      <c r="DL83" s="1">
        <v>0</v>
      </c>
      <c r="DM83" s="1">
        <v>0</v>
      </c>
      <c r="DN83" s="1">
        <v>0</v>
      </c>
      <c r="DO83" s="1">
        <v>0</v>
      </c>
      <c r="DP83" s="1">
        <v>0</v>
      </c>
      <c r="DQ83" s="1">
        <v>0</v>
      </c>
      <c r="DR83" s="1">
        <v>0</v>
      </c>
      <c r="DS83" s="1">
        <v>0</v>
      </c>
      <c r="DT83" s="1">
        <v>0</v>
      </c>
      <c r="DU83" s="1">
        <v>0</v>
      </c>
      <c r="DV83" s="1">
        <v>0</v>
      </c>
      <c r="DW83" s="1">
        <v>0</v>
      </c>
      <c r="DX83" s="1">
        <v>0</v>
      </c>
      <c r="DY83" s="1">
        <v>0</v>
      </c>
      <c r="DZ83" s="1">
        <v>0</v>
      </c>
      <c r="EA83" s="1">
        <v>0</v>
      </c>
      <c r="EB83" s="1">
        <v>0</v>
      </c>
      <c r="EC83" s="1">
        <v>0</v>
      </c>
      <c r="ED83" s="1">
        <v>0</v>
      </c>
      <c r="EE83" s="1">
        <v>0</v>
      </c>
      <c r="EF83" s="1">
        <v>0</v>
      </c>
      <c r="EG83" s="1">
        <v>0</v>
      </c>
      <c r="EH83" s="1">
        <v>0</v>
      </c>
      <c r="EI83" s="1">
        <v>0</v>
      </c>
      <c r="EJ83" s="1">
        <v>0</v>
      </c>
      <c r="EK83" s="1">
        <v>0</v>
      </c>
      <c r="EL83" s="1">
        <v>0</v>
      </c>
      <c r="EM83" s="1">
        <v>0</v>
      </c>
      <c r="EN83" s="1">
        <v>0</v>
      </c>
      <c r="EO83" s="1">
        <v>0</v>
      </c>
      <c r="EP83" s="1">
        <v>0</v>
      </c>
      <c r="EQ83" s="1">
        <v>0</v>
      </c>
      <c r="ER83" s="1">
        <v>0</v>
      </c>
      <c r="ES83" s="1">
        <v>0</v>
      </c>
      <c r="ET83" s="1">
        <v>0</v>
      </c>
      <c r="EU83" s="1">
        <v>0</v>
      </c>
      <c r="EV83" s="1">
        <v>0</v>
      </c>
      <c r="EW83" s="1">
        <v>0</v>
      </c>
      <c r="EX83" s="1">
        <v>0</v>
      </c>
      <c r="EY83" s="1">
        <v>0</v>
      </c>
      <c r="EZ83" s="1">
        <v>0</v>
      </c>
      <c r="FA83" s="1">
        <v>0</v>
      </c>
      <c r="FB83" s="1">
        <v>0</v>
      </c>
      <c r="FC83" s="1">
        <v>0</v>
      </c>
      <c r="FD83" s="1">
        <v>0</v>
      </c>
      <c r="FE83" s="1">
        <f>SUM(CI83:FD83)</f>
        <v>0</v>
      </c>
      <c r="FF83" s="1">
        <f>CI157</f>
        <v>574</v>
      </c>
      <c r="FG83" s="1"/>
    </row>
    <row r="84" spans="8:163" ht="15.75" thickBot="1" x14ac:dyDescent="0.3">
      <c r="H84" s="1" t="s">
        <v>5</v>
      </c>
      <c r="I84" s="1">
        <f t="shared" ref="I84:I147" si="45">CI84-CI5*$C$2</f>
        <v>0</v>
      </c>
      <c r="J84" s="1">
        <f t="shared" si="43"/>
        <v>0</v>
      </c>
      <c r="K84" s="1">
        <f t="shared" si="43"/>
        <v>0</v>
      </c>
      <c r="L84" s="1">
        <f t="shared" si="43"/>
        <v>0</v>
      </c>
      <c r="M84" s="1">
        <f t="shared" si="43"/>
        <v>0</v>
      </c>
      <c r="N84" s="1">
        <f t="shared" si="43"/>
        <v>0</v>
      </c>
      <c r="O84" s="1">
        <f t="shared" si="43"/>
        <v>0</v>
      </c>
      <c r="P84" s="1">
        <f t="shared" si="43"/>
        <v>0</v>
      </c>
      <c r="Q84" s="1">
        <f t="shared" si="43"/>
        <v>0</v>
      </c>
      <c r="R84" s="1">
        <f t="shared" si="43"/>
        <v>0</v>
      </c>
      <c r="S84" s="1">
        <f t="shared" si="43"/>
        <v>0</v>
      </c>
      <c r="T84" s="1">
        <f t="shared" si="43"/>
        <v>0</v>
      </c>
      <c r="U84" s="1">
        <f t="shared" si="43"/>
        <v>0</v>
      </c>
      <c r="V84" s="1">
        <f t="shared" si="43"/>
        <v>0</v>
      </c>
      <c r="W84" s="1">
        <f t="shared" si="43"/>
        <v>0</v>
      </c>
      <c r="X84" s="1">
        <f t="shared" si="43"/>
        <v>0</v>
      </c>
      <c r="Y84" s="1">
        <f t="shared" si="43"/>
        <v>0</v>
      </c>
      <c r="Z84" s="1">
        <f t="shared" si="43"/>
        <v>0</v>
      </c>
      <c r="AA84" s="1">
        <f t="shared" si="43"/>
        <v>0</v>
      </c>
      <c r="AB84" s="1">
        <f t="shared" si="43"/>
        <v>0</v>
      </c>
      <c r="AC84" s="1">
        <f t="shared" si="43"/>
        <v>0</v>
      </c>
      <c r="AD84" s="1">
        <f t="shared" si="43"/>
        <v>0</v>
      </c>
      <c r="AE84" s="1">
        <f t="shared" si="43"/>
        <v>0</v>
      </c>
      <c r="AF84" s="1">
        <f t="shared" si="43"/>
        <v>0</v>
      </c>
      <c r="AG84" s="1">
        <f t="shared" si="43"/>
        <v>0</v>
      </c>
      <c r="AH84" s="1">
        <f t="shared" si="43"/>
        <v>0</v>
      </c>
      <c r="AI84" s="1">
        <f t="shared" si="43"/>
        <v>0</v>
      </c>
      <c r="AJ84" s="1">
        <f t="shared" si="43"/>
        <v>0</v>
      </c>
      <c r="AK84" s="1">
        <f t="shared" si="43"/>
        <v>0</v>
      </c>
      <c r="AL84" s="1">
        <f t="shared" si="43"/>
        <v>0</v>
      </c>
      <c r="AM84" s="1">
        <f t="shared" si="43"/>
        <v>0</v>
      </c>
      <c r="AN84" s="1">
        <f t="shared" si="43"/>
        <v>0</v>
      </c>
      <c r="AO84" s="1">
        <f t="shared" si="43"/>
        <v>0</v>
      </c>
      <c r="AP84" s="1">
        <f t="shared" si="43"/>
        <v>0</v>
      </c>
      <c r="AQ84" s="1">
        <f t="shared" si="43"/>
        <v>-61</v>
      </c>
      <c r="AR84" s="1">
        <f t="shared" si="43"/>
        <v>0</v>
      </c>
      <c r="AS84" s="1">
        <f t="shared" si="43"/>
        <v>0</v>
      </c>
      <c r="AT84" s="1">
        <f t="shared" si="43"/>
        <v>0</v>
      </c>
      <c r="AU84" s="1">
        <f t="shared" si="43"/>
        <v>0</v>
      </c>
      <c r="AV84" s="1">
        <f t="shared" si="43"/>
        <v>0</v>
      </c>
      <c r="AW84" s="1">
        <f t="shared" si="43"/>
        <v>0</v>
      </c>
      <c r="AX84" s="1">
        <f t="shared" si="43"/>
        <v>0</v>
      </c>
      <c r="AY84" s="1">
        <f t="shared" si="43"/>
        <v>0</v>
      </c>
      <c r="AZ84" s="1">
        <f t="shared" si="43"/>
        <v>0</v>
      </c>
      <c r="BA84" s="1">
        <f t="shared" si="43"/>
        <v>0</v>
      </c>
      <c r="BB84" s="1">
        <f t="shared" si="43"/>
        <v>0</v>
      </c>
      <c r="BC84" s="1">
        <f t="shared" si="43"/>
        <v>0</v>
      </c>
      <c r="BD84" s="1">
        <f t="shared" si="43"/>
        <v>0</v>
      </c>
      <c r="BE84" s="1">
        <f t="shared" si="43"/>
        <v>0</v>
      </c>
      <c r="BF84" s="1">
        <f t="shared" si="43"/>
        <v>0</v>
      </c>
      <c r="BG84" s="1">
        <f t="shared" si="43"/>
        <v>0</v>
      </c>
      <c r="BH84" s="1">
        <f t="shared" si="43"/>
        <v>0</v>
      </c>
      <c r="BI84" s="1">
        <f t="shared" si="43"/>
        <v>0</v>
      </c>
      <c r="BJ84" s="1">
        <f t="shared" si="43"/>
        <v>0</v>
      </c>
      <c r="BK84" s="1">
        <f t="shared" si="43"/>
        <v>0</v>
      </c>
      <c r="BL84" s="1">
        <f t="shared" si="43"/>
        <v>0</v>
      </c>
      <c r="BM84" s="1">
        <f t="shared" si="43"/>
        <v>0</v>
      </c>
      <c r="BN84" s="1">
        <f t="shared" si="43"/>
        <v>0</v>
      </c>
      <c r="BO84" s="1">
        <f t="shared" si="43"/>
        <v>0</v>
      </c>
      <c r="BP84" s="1">
        <f t="shared" si="43"/>
        <v>0</v>
      </c>
      <c r="BQ84" s="1">
        <f t="shared" si="43"/>
        <v>0</v>
      </c>
      <c r="BR84" s="1">
        <f t="shared" si="43"/>
        <v>0</v>
      </c>
      <c r="BS84" s="1">
        <f t="shared" si="43"/>
        <v>0</v>
      </c>
      <c r="BT84" s="1">
        <f t="shared" si="43"/>
        <v>0</v>
      </c>
      <c r="BU84" s="1">
        <f t="shared" si="43"/>
        <v>0</v>
      </c>
      <c r="BV84" s="1">
        <f t="shared" si="44"/>
        <v>0</v>
      </c>
      <c r="BW84" s="1">
        <f t="shared" si="44"/>
        <v>0</v>
      </c>
      <c r="BX84" s="1">
        <f t="shared" si="44"/>
        <v>0</v>
      </c>
      <c r="BY84" s="1">
        <f t="shared" si="44"/>
        <v>0</v>
      </c>
      <c r="BZ84" s="1">
        <f t="shared" si="44"/>
        <v>0</v>
      </c>
      <c r="CA84" s="1">
        <f t="shared" si="44"/>
        <v>0</v>
      </c>
      <c r="CB84" s="1">
        <f t="shared" si="44"/>
        <v>0</v>
      </c>
      <c r="CC84" s="1">
        <f t="shared" si="44"/>
        <v>0</v>
      </c>
      <c r="CD84" s="1">
        <f t="shared" si="44"/>
        <v>0</v>
      </c>
      <c r="CE84" s="1"/>
      <c r="CH84" s="1" t="s">
        <v>5</v>
      </c>
      <c r="CI84" s="1">
        <v>0</v>
      </c>
      <c r="CJ84" s="1">
        <v>0</v>
      </c>
      <c r="CK84" s="1">
        <v>0</v>
      </c>
      <c r="CL84" s="1">
        <v>0</v>
      </c>
      <c r="CM84" s="1">
        <v>0</v>
      </c>
      <c r="CN84" s="1">
        <v>0</v>
      </c>
      <c r="CO84" s="1">
        <v>0</v>
      </c>
      <c r="CP84" s="1">
        <v>0</v>
      </c>
      <c r="CQ84" s="1">
        <v>0</v>
      </c>
      <c r="CR84" s="1">
        <v>0</v>
      </c>
      <c r="CS84" s="1">
        <v>0</v>
      </c>
      <c r="CT84" s="1">
        <v>0</v>
      </c>
      <c r="CU84" s="1">
        <v>0</v>
      </c>
      <c r="CV84" s="1">
        <v>0</v>
      </c>
      <c r="CW84" s="1">
        <v>0</v>
      </c>
      <c r="CX84" s="1">
        <v>0</v>
      </c>
      <c r="CY84" s="1">
        <v>0</v>
      </c>
      <c r="CZ84" s="1">
        <v>0</v>
      </c>
      <c r="DA84" s="1">
        <v>0</v>
      </c>
      <c r="DB84" s="1">
        <v>0</v>
      </c>
      <c r="DC84" s="1">
        <v>0</v>
      </c>
      <c r="DD84" s="1">
        <v>0</v>
      </c>
      <c r="DE84" s="1">
        <v>0</v>
      </c>
      <c r="DF84" s="1">
        <v>0</v>
      </c>
      <c r="DG84" s="1">
        <v>0</v>
      </c>
      <c r="DH84" s="1">
        <v>0</v>
      </c>
      <c r="DI84" s="1">
        <v>0</v>
      </c>
      <c r="DJ84" s="1">
        <v>0</v>
      </c>
      <c r="DK84" s="1">
        <v>0</v>
      </c>
      <c r="DL84" s="1">
        <v>0</v>
      </c>
      <c r="DM84" s="1">
        <v>0</v>
      </c>
      <c r="DN84" s="1">
        <v>0</v>
      </c>
      <c r="DO84" s="1">
        <v>0</v>
      </c>
      <c r="DP84" s="1">
        <v>0</v>
      </c>
      <c r="DQ84" s="1">
        <v>9</v>
      </c>
      <c r="DR84" s="1">
        <v>0</v>
      </c>
      <c r="DS84" s="1">
        <v>0</v>
      </c>
      <c r="DT84" s="1">
        <v>0</v>
      </c>
      <c r="DU84" s="1">
        <v>0</v>
      </c>
      <c r="DV84" s="1">
        <v>0</v>
      </c>
      <c r="DW84" s="1">
        <v>0</v>
      </c>
      <c r="DX84" s="1">
        <v>0</v>
      </c>
      <c r="DY84" s="1">
        <v>0</v>
      </c>
      <c r="DZ84" s="1">
        <v>0</v>
      </c>
      <c r="EA84" s="1">
        <v>0</v>
      </c>
      <c r="EB84" s="1">
        <v>0</v>
      </c>
      <c r="EC84" s="1">
        <v>0</v>
      </c>
      <c r="ED84" s="1">
        <v>0</v>
      </c>
      <c r="EE84" s="1">
        <v>0</v>
      </c>
      <c r="EF84" s="1">
        <v>0</v>
      </c>
      <c r="EG84" s="1">
        <v>0</v>
      </c>
      <c r="EH84" s="1">
        <v>0</v>
      </c>
      <c r="EI84" s="1">
        <v>0</v>
      </c>
      <c r="EJ84" s="1">
        <v>0</v>
      </c>
      <c r="EK84" s="1">
        <v>0</v>
      </c>
      <c r="EL84" s="1">
        <v>0</v>
      </c>
      <c r="EM84" s="1">
        <v>0</v>
      </c>
      <c r="EN84" s="1">
        <v>0</v>
      </c>
      <c r="EO84" s="1">
        <v>0</v>
      </c>
      <c r="EP84" s="1">
        <v>0</v>
      </c>
      <c r="EQ84" s="1">
        <v>0</v>
      </c>
      <c r="ER84" s="1">
        <v>0</v>
      </c>
      <c r="ES84" s="1">
        <v>0</v>
      </c>
      <c r="ET84" s="1">
        <v>0</v>
      </c>
      <c r="EU84" s="1">
        <v>0</v>
      </c>
      <c r="EV84" s="1">
        <v>0</v>
      </c>
      <c r="EW84" s="1">
        <v>0</v>
      </c>
      <c r="EX84" s="1">
        <v>0</v>
      </c>
      <c r="EY84" s="1">
        <v>0</v>
      </c>
      <c r="EZ84" s="1">
        <v>0</v>
      </c>
      <c r="FA84" s="1">
        <v>0</v>
      </c>
      <c r="FB84" s="1">
        <v>0</v>
      </c>
      <c r="FC84" s="1">
        <v>0</v>
      </c>
      <c r="FD84" s="1">
        <v>0</v>
      </c>
      <c r="FE84" s="1">
        <f t="shared" ref="FE84:FE147" si="46">SUM(CI84:FD84)</f>
        <v>9</v>
      </c>
      <c r="FF84" s="1">
        <f>CJ157</f>
        <v>0</v>
      </c>
      <c r="FG84" s="1">
        <f>-F4-FF84+FE84</f>
        <v>0</v>
      </c>
    </row>
    <row r="85" spans="8:163" ht="15.75" thickBot="1" x14ac:dyDescent="0.3">
      <c r="H85" s="1" t="s">
        <v>6</v>
      </c>
      <c r="I85" s="1">
        <f t="shared" si="45"/>
        <v>0</v>
      </c>
      <c r="J85" s="1">
        <f t="shared" si="43"/>
        <v>0</v>
      </c>
      <c r="K85" s="1">
        <f t="shared" si="43"/>
        <v>0</v>
      </c>
      <c r="L85" s="1">
        <f t="shared" si="43"/>
        <v>0</v>
      </c>
      <c r="M85" s="1">
        <f t="shared" si="43"/>
        <v>0</v>
      </c>
      <c r="N85" s="1">
        <f t="shared" si="43"/>
        <v>0</v>
      </c>
      <c r="O85" s="1">
        <f t="shared" si="43"/>
        <v>0</v>
      </c>
      <c r="P85" s="1">
        <f t="shared" si="43"/>
        <v>0</v>
      </c>
      <c r="Q85" s="1">
        <f t="shared" si="43"/>
        <v>0</v>
      </c>
      <c r="R85" s="1">
        <f t="shared" si="43"/>
        <v>0</v>
      </c>
      <c r="S85" s="1">
        <f t="shared" si="43"/>
        <v>0</v>
      </c>
      <c r="T85" s="1">
        <f t="shared" si="43"/>
        <v>0</v>
      </c>
      <c r="U85" s="1">
        <f t="shared" si="43"/>
        <v>0</v>
      </c>
      <c r="V85" s="1">
        <f t="shared" si="43"/>
        <v>0</v>
      </c>
      <c r="W85" s="1">
        <f t="shared" si="43"/>
        <v>0</v>
      </c>
      <c r="X85" s="1">
        <f t="shared" si="43"/>
        <v>0</v>
      </c>
      <c r="Y85" s="1">
        <f t="shared" si="43"/>
        <v>0</v>
      </c>
      <c r="Z85" s="1">
        <f t="shared" si="43"/>
        <v>0</v>
      </c>
      <c r="AA85" s="1">
        <f t="shared" si="43"/>
        <v>0</v>
      </c>
      <c r="AB85" s="1">
        <f t="shared" si="43"/>
        <v>0</v>
      </c>
      <c r="AC85" s="1">
        <f t="shared" si="43"/>
        <v>0</v>
      </c>
      <c r="AD85" s="1">
        <f t="shared" si="43"/>
        <v>0</v>
      </c>
      <c r="AE85" s="1">
        <f t="shared" si="43"/>
        <v>0</v>
      </c>
      <c r="AF85" s="1">
        <f t="shared" si="43"/>
        <v>0</v>
      </c>
      <c r="AG85" s="1">
        <f t="shared" si="43"/>
        <v>0</v>
      </c>
      <c r="AH85" s="1">
        <f t="shared" si="43"/>
        <v>0</v>
      </c>
      <c r="AI85" s="1">
        <f t="shared" si="43"/>
        <v>0</v>
      </c>
      <c r="AJ85" s="1">
        <f t="shared" si="43"/>
        <v>0</v>
      </c>
      <c r="AK85" s="1">
        <f t="shared" si="43"/>
        <v>0</v>
      </c>
      <c r="AL85" s="1">
        <f t="shared" si="43"/>
        <v>0</v>
      </c>
      <c r="AM85" s="1">
        <f t="shared" si="43"/>
        <v>0</v>
      </c>
      <c r="AN85" s="1">
        <f t="shared" si="43"/>
        <v>0</v>
      </c>
      <c r="AO85" s="1">
        <f t="shared" si="43"/>
        <v>0</v>
      </c>
      <c r="AP85" s="1">
        <f t="shared" si="43"/>
        <v>0</v>
      </c>
      <c r="AQ85" s="1">
        <f t="shared" si="43"/>
        <v>0</v>
      </c>
      <c r="AR85" s="1">
        <f t="shared" si="43"/>
        <v>0</v>
      </c>
      <c r="AS85" s="1">
        <f t="shared" si="43"/>
        <v>0</v>
      </c>
      <c r="AT85" s="1">
        <f t="shared" si="43"/>
        <v>0</v>
      </c>
      <c r="AU85" s="1">
        <f t="shared" si="43"/>
        <v>-65</v>
      </c>
      <c r="AV85" s="1">
        <f t="shared" si="43"/>
        <v>0</v>
      </c>
      <c r="AW85" s="1">
        <f t="shared" si="43"/>
        <v>0</v>
      </c>
      <c r="AX85" s="1">
        <f t="shared" si="43"/>
        <v>0</v>
      </c>
      <c r="AY85" s="1">
        <f t="shared" si="43"/>
        <v>0</v>
      </c>
      <c r="AZ85" s="1">
        <f t="shared" si="43"/>
        <v>0</v>
      </c>
      <c r="BA85" s="1">
        <f t="shared" si="43"/>
        <v>0</v>
      </c>
      <c r="BB85" s="1">
        <f t="shared" si="43"/>
        <v>0</v>
      </c>
      <c r="BC85" s="1">
        <f t="shared" si="43"/>
        <v>0</v>
      </c>
      <c r="BD85" s="1">
        <f t="shared" si="43"/>
        <v>0</v>
      </c>
      <c r="BE85" s="1">
        <f t="shared" si="43"/>
        <v>0</v>
      </c>
      <c r="BF85" s="1">
        <f t="shared" si="43"/>
        <v>0</v>
      </c>
      <c r="BG85" s="1">
        <f t="shared" si="43"/>
        <v>0</v>
      </c>
      <c r="BH85" s="1">
        <f t="shared" si="43"/>
        <v>0</v>
      </c>
      <c r="BI85" s="1">
        <f t="shared" si="43"/>
        <v>0</v>
      </c>
      <c r="BJ85" s="1">
        <f t="shared" si="43"/>
        <v>0</v>
      </c>
      <c r="BK85" s="1">
        <f t="shared" si="43"/>
        <v>0</v>
      </c>
      <c r="BL85" s="1">
        <f t="shared" si="43"/>
        <v>0</v>
      </c>
      <c r="BM85" s="1">
        <f t="shared" si="43"/>
        <v>0</v>
      </c>
      <c r="BN85" s="1">
        <f t="shared" si="43"/>
        <v>0</v>
      </c>
      <c r="BO85" s="1">
        <f t="shared" si="43"/>
        <v>0</v>
      </c>
      <c r="BP85" s="1">
        <f t="shared" si="43"/>
        <v>0</v>
      </c>
      <c r="BQ85" s="1">
        <f t="shared" si="43"/>
        <v>0</v>
      </c>
      <c r="BR85" s="1">
        <f t="shared" si="43"/>
        <v>0</v>
      </c>
      <c r="BS85" s="1">
        <f t="shared" si="43"/>
        <v>0</v>
      </c>
      <c r="BT85" s="1">
        <f t="shared" si="43"/>
        <v>0</v>
      </c>
      <c r="BU85" s="1">
        <f t="shared" si="43"/>
        <v>0</v>
      </c>
      <c r="BV85" s="1">
        <f t="shared" si="44"/>
        <v>0</v>
      </c>
      <c r="BW85" s="1">
        <f t="shared" si="44"/>
        <v>0</v>
      </c>
      <c r="BX85" s="1">
        <f t="shared" si="44"/>
        <v>0</v>
      </c>
      <c r="BY85" s="1">
        <f t="shared" si="44"/>
        <v>0</v>
      </c>
      <c r="BZ85" s="1">
        <f t="shared" si="44"/>
        <v>0</v>
      </c>
      <c r="CA85" s="1">
        <f t="shared" si="44"/>
        <v>0</v>
      </c>
      <c r="CB85" s="1">
        <f t="shared" si="44"/>
        <v>0</v>
      </c>
      <c r="CC85" s="1">
        <f t="shared" si="44"/>
        <v>0</v>
      </c>
      <c r="CD85" s="1">
        <f t="shared" si="44"/>
        <v>0</v>
      </c>
      <c r="CE85" s="1"/>
      <c r="CH85" s="1" t="s">
        <v>6</v>
      </c>
      <c r="CI85" s="1">
        <v>0</v>
      </c>
      <c r="CJ85" s="1">
        <v>0</v>
      </c>
      <c r="CK85" s="1">
        <v>0</v>
      </c>
      <c r="CL85" s="1">
        <v>0</v>
      </c>
      <c r="CM85" s="1">
        <v>0</v>
      </c>
      <c r="CN85" s="1">
        <v>0</v>
      </c>
      <c r="CO85" s="1">
        <v>0</v>
      </c>
      <c r="CP85" s="1">
        <v>0</v>
      </c>
      <c r="CQ85" s="1">
        <v>0</v>
      </c>
      <c r="CR85" s="1">
        <v>0</v>
      </c>
      <c r="CS85" s="1">
        <v>0</v>
      </c>
      <c r="CT85" s="1">
        <v>0</v>
      </c>
      <c r="CU85" s="1">
        <v>0</v>
      </c>
      <c r="CV85" s="1">
        <v>0</v>
      </c>
      <c r="CW85" s="1">
        <v>0</v>
      </c>
      <c r="CX85" s="1">
        <v>0</v>
      </c>
      <c r="CY85" s="1">
        <v>0</v>
      </c>
      <c r="CZ85" s="1">
        <v>0</v>
      </c>
      <c r="DA85" s="1">
        <v>0</v>
      </c>
      <c r="DB85" s="1">
        <v>0</v>
      </c>
      <c r="DC85" s="1">
        <v>0</v>
      </c>
      <c r="DD85" s="1">
        <v>0</v>
      </c>
      <c r="DE85" s="1">
        <v>0</v>
      </c>
      <c r="DF85" s="1">
        <v>0</v>
      </c>
      <c r="DG85" s="1">
        <v>0</v>
      </c>
      <c r="DH85" s="1">
        <v>0</v>
      </c>
      <c r="DI85" s="1">
        <v>0</v>
      </c>
      <c r="DJ85" s="1">
        <v>0</v>
      </c>
      <c r="DK85" s="1">
        <v>0</v>
      </c>
      <c r="DL85" s="1">
        <v>0</v>
      </c>
      <c r="DM85" s="1">
        <v>0</v>
      </c>
      <c r="DN85" s="1">
        <v>0</v>
      </c>
      <c r="DO85" s="1">
        <v>0</v>
      </c>
      <c r="DP85" s="1">
        <v>0</v>
      </c>
      <c r="DQ85" s="1">
        <v>0</v>
      </c>
      <c r="DR85" s="1">
        <v>0</v>
      </c>
      <c r="DS85" s="1">
        <v>0</v>
      </c>
      <c r="DT85" s="1">
        <v>0</v>
      </c>
      <c r="DU85" s="1">
        <v>5</v>
      </c>
      <c r="DV85" s="1">
        <v>0</v>
      </c>
      <c r="DW85" s="1">
        <v>0</v>
      </c>
      <c r="DX85" s="1">
        <v>0</v>
      </c>
      <c r="DY85" s="1">
        <v>0</v>
      </c>
      <c r="DZ85" s="1">
        <v>0</v>
      </c>
      <c r="EA85" s="1">
        <v>0</v>
      </c>
      <c r="EB85" s="1">
        <v>0</v>
      </c>
      <c r="EC85" s="1">
        <v>0</v>
      </c>
      <c r="ED85" s="1">
        <v>0</v>
      </c>
      <c r="EE85" s="1">
        <v>0</v>
      </c>
      <c r="EF85" s="1">
        <v>0</v>
      </c>
      <c r="EG85" s="1">
        <v>0</v>
      </c>
      <c r="EH85" s="1">
        <v>0</v>
      </c>
      <c r="EI85" s="1">
        <v>0</v>
      </c>
      <c r="EJ85" s="1">
        <v>0</v>
      </c>
      <c r="EK85" s="1">
        <v>0</v>
      </c>
      <c r="EL85" s="1">
        <v>0</v>
      </c>
      <c r="EM85" s="1">
        <v>0</v>
      </c>
      <c r="EN85" s="1">
        <v>0</v>
      </c>
      <c r="EO85" s="1">
        <v>0</v>
      </c>
      <c r="EP85" s="1">
        <v>0</v>
      </c>
      <c r="EQ85" s="1">
        <v>0</v>
      </c>
      <c r="ER85" s="1">
        <v>0</v>
      </c>
      <c r="ES85" s="1">
        <v>0</v>
      </c>
      <c r="ET85" s="1">
        <v>0</v>
      </c>
      <c r="EU85" s="1">
        <v>0</v>
      </c>
      <c r="EV85" s="1">
        <v>0</v>
      </c>
      <c r="EW85" s="1">
        <v>0</v>
      </c>
      <c r="EX85" s="1">
        <v>0</v>
      </c>
      <c r="EY85" s="1">
        <v>0</v>
      </c>
      <c r="EZ85" s="1">
        <v>0</v>
      </c>
      <c r="FA85" s="1">
        <v>0</v>
      </c>
      <c r="FB85" s="1">
        <v>0</v>
      </c>
      <c r="FC85" s="1">
        <v>0</v>
      </c>
      <c r="FD85" s="1">
        <v>0</v>
      </c>
      <c r="FE85" s="1">
        <f t="shared" si="46"/>
        <v>5</v>
      </c>
      <c r="FF85" s="1">
        <f>CK157</f>
        <v>0</v>
      </c>
      <c r="FG85" s="1">
        <f t="shared" ref="FG85:FG148" si="47">-F5-FF85+FE85</f>
        <v>0</v>
      </c>
    </row>
    <row r="86" spans="8:163" ht="15.75" thickBot="1" x14ac:dyDescent="0.3">
      <c r="H86" s="1" t="s">
        <v>7</v>
      </c>
      <c r="I86" s="1">
        <f t="shared" si="45"/>
        <v>-62</v>
      </c>
      <c r="J86" s="1">
        <f t="shared" si="43"/>
        <v>0</v>
      </c>
      <c r="K86" s="1">
        <f t="shared" si="43"/>
        <v>0</v>
      </c>
      <c r="L86" s="1">
        <f t="shared" si="43"/>
        <v>0</v>
      </c>
      <c r="M86" s="1">
        <f t="shared" si="43"/>
        <v>0</v>
      </c>
      <c r="N86" s="1">
        <f t="shared" si="43"/>
        <v>0</v>
      </c>
      <c r="O86" s="1">
        <f t="shared" si="43"/>
        <v>0</v>
      </c>
      <c r="P86" s="1">
        <f t="shared" si="43"/>
        <v>0</v>
      </c>
      <c r="Q86" s="1">
        <f t="shared" si="43"/>
        <v>0</v>
      </c>
      <c r="R86" s="1">
        <f t="shared" si="43"/>
        <v>0</v>
      </c>
      <c r="S86" s="1">
        <f t="shared" si="43"/>
        <v>0</v>
      </c>
      <c r="T86" s="1">
        <f t="shared" si="43"/>
        <v>0</v>
      </c>
      <c r="U86" s="1">
        <f t="shared" si="43"/>
        <v>0</v>
      </c>
      <c r="V86" s="1">
        <f t="shared" si="43"/>
        <v>0</v>
      </c>
      <c r="W86" s="1">
        <f t="shared" si="43"/>
        <v>0</v>
      </c>
      <c r="X86" s="1">
        <f t="shared" si="43"/>
        <v>0</v>
      </c>
      <c r="Y86" s="1">
        <f t="shared" si="43"/>
        <v>0</v>
      </c>
      <c r="Z86" s="1">
        <f t="shared" si="43"/>
        <v>0</v>
      </c>
      <c r="AA86" s="1">
        <f t="shared" si="43"/>
        <v>0</v>
      </c>
      <c r="AB86" s="1">
        <f t="shared" si="43"/>
        <v>0</v>
      </c>
      <c r="AC86" s="1">
        <f t="shared" si="43"/>
        <v>0</v>
      </c>
      <c r="AD86" s="1">
        <f t="shared" si="43"/>
        <v>0</v>
      </c>
      <c r="AE86" s="1">
        <f t="shared" si="43"/>
        <v>0</v>
      </c>
      <c r="AF86" s="1">
        <f t="shared" si="43"/>
        <v>0</v>
      </c>
      <c r="AG86" s="1">
        <f t="shared" si="43"/>
        <v>0</v>
      </c>
      <c r="AH86" s="1">
        <f t="shared" si="43"/>
        <v>0</v>
      </c>
      <c r="AI86" s="1">
        <f t="shared" si="43"/>
        <v>0</v>
      </c>
      <c r="AJ86" s="1">
        <f t="shared" si="43"/>
        <v>0</v>
      </c>
      <c r="AK86" s="1">
        <f t="shared" si="43"/>
        <v>0</v>
      </c>
      <c r="AL86" s="1">
        <f t="shared" si="43"/>
        <v>0</v>
      </c>
      <c r="AM86" s="1">
        <f t="shared" si="43"/>
        <v>0</v>
      </c>
      <c r="AN86" s="1">
        <f t="shared" si="43"/>
        <v>0</v>
      </c>
      <c r="AO86" s="1">
        <f t="shared" si="43"/>
        <v>0</v>
      </c>
      <c r="AP86" s="1">
        <f t="shared" si="43"/>
        <v>0</v>
      </c>
      <c r="AQ86" s="1">
        <f t="shared" si="43"/>
        <v>0</v>
      </c>
      <c r="AR86" s="1">
        <f t="shared" si="43"/>
        <v>0</v>
      </c>
      <c r="AS86" s="1">
        <f t="shared" si="43"/>
        <v>0</v>
      </c>
      <c r="AT86" s="1">
        <f t="shared" si="43"/>
        <v>0</v>
      </c>
      <c r="AU86" s="1">
        <f t="shared" si="43"/>
        <v>0</v>
      </c>
      <c r="AV86" s="1">
        <f t="shared" si="43"/>
        <v>0</v>
      </c>
      <c r="AW86" s="1">
        <f t="shared" si="43"/>
        <v>0</v>
      </c>
      <c r="AX86" s="1">
        <f t="shared" si="43"/>
        <v>0</v>
      </c>
      <c r="AY86" s="1">
        <f t="shared" si="43"/>
        <v>0</v>
      </c>
      <c r="AZ86" s="1">
        <f t="shared" si="43"/>
        <v>0</v>
      </c>
      <c r="BA86" s="1">
        <f t="shared" si="43"/>
        <v>0</v>
      </c>
      <c r="BB86" s="1">
        <f t="shared" si="43"/>
        <v>0</v>
      </c>
      <c r="BC86" s="1">
        <f t="shared" si="43"/>
        <v>0</v>
      </c>
      <c r="BD86" s="1">
        <f t="shared" si="43"/>
        <v>0</v>
      </c>
      <c r="BE86" s="1">
        <f t="shared" si="43"/>
        <v>0</v>
      </c>
      <c r="BF86" s="1">
        <f t="shared" si="43"/>
        <v>0</v>
      </c>
      <c r="BG86" s="1">
        <f t="shared" si="43"/>
        <v>0</v>
      </c>
      <c r="BH86" s="1">
        <f t="shared" si="43"/>
        <v>0</v>
      </c>
      <c r="BI86" s="1">
        <f t="shared" si="43"/>
        <v>0</v>
      </c>
      <c r="BJ86" s="1">
        <f t="shared" si="43"/>
        <v>0</v>
      </c>
      <c r="BK86" s="1">
        <f t="shared" si="43"/>
        <v>0</v>
      </c>
      <c r="BL86" s="1">
        <f t="shared" si="43"/>
        <v>0</v>
      </c>
      <c r="BM86" s="1">
        <f t="shared" si="43"/>
        <v>0</v>
      </c>
      <c r="BN86" s="1">
        <f t="shared" si="43"/>
        <v>0</v>
      </c>
      <c r="BO86" s="1">
        <f t="shared" si="43"/>
        <v>0</v>
      </c>
      <c r="BP86" s="1">
        <f t="shared" si="43"/>
        <v>0</v>
      </c>
      <c r="BQ86" s="1">
        <f t="shared" si="43"/>
        <v>0</v>
      </c>
      <c r="BR86" s="1">
        <f t="shared" si="43"/>
        <v>0</v>
      </c>
      <c r="BS86" s="1">
        <f t="shared" si="43"/>
        <v>0</v>
      </c>
      <c r="BT86" s="1">
        <f t="shared" si="43"/>
        <v>0</v>
      </c>
      <c r="BU86" s="1">
        <f t="shared" ref="BU86:BU149" si="48">EU86-EU7*$C$2</f>
        <v>0</v>
      </c>
      <c r="BV86" s="1">
        <f t="shared" si="44"/>
        <v>0</v>
      </c>
      <c r="BW86" s="1">
        <f t="shared" si="44"/>
        <v>0</v>
      </c>
      <c r="BX86" s="1">
        <f t="shared" si="44"/>
        <v>0</v>
      </c>
      <c r="BY86" s="1">
        <f t="shared" si="44"/>
        <v>0</v>
      </c>
      <c r="BZ86" s="1">
        <f t="shared" si="44"/>
        <v>0</v>
      </c>
      <c r="CA86" s="1">
        <f t="shared" si="44"/>
        <v>0</v>
      </c>
      <c r="CB86" s="1">
        <f t="shared" si="44"/>
        <v>0</v>
      </c>
      <c r="CC86" s="1">
        <f t="shared" si="44"/>
        <v>0</v>
      </c>
      <c r="CD86" s="1">
        <f t="shared" si="44"/>
        <v>0</v>
      </c>
      <c r="CE86" s="1"/>
      <c r="CH86" s="1" t="s">
        <v>7</v>
      </c>
      <c r="CI86" s="1">
        <v>8</v>
      </c>
      <c r="CJ86" s="1">
        <v>0</v>
      </c>
      <c r="CK86" s="1">
        <v>0</v>
      </c>
      <c r="CL86" s="1">
        <v>0</v>
      </c>
      <c r="CM86" s="1">
        <v>0</v>
      </c>
      <c r="CN86" s="1">
        <v>0</v>
      </c>
      <c r="CO86" s="1">
        <v>0</v>
      </c>
      <c r="CP86" s="1">
        <v>0</v>
      </c>
      <c r="CQ86" s="1">
        <v>0</v>
      </c>
      <c r="CR86" s="1">
        <v>0</v>
      </c>
      <c r="CS86" s="1">
        <v>0</v>
      </c>
      <c r="CT86" s="1">
        <v>0</v>
      </c>
      <c r="CU86" s="1">
        <v>0</v>
      </c>
      <c r="CV86" s="1">
        <v>0</v>
      </c>
      <c r="CW86" s="1">
        <v>0</v>
      </c>
      <c r="CX86" s="1">
        <v>0</v>
      </c>
      <c r="CY86" s="1">
        <v>0</v>
      </c>
      <c r="CZ86" s="1">
        <v>0</v>
      </c>
      <c r="DA86" s="1">
        <v>0</v>
      </c>
      <c r="DB86" s="1">
        <v>0</v>
      </c>
      <c r="DC86" s="1">
        <v>0</v>
      </c>
      <c r="DD86" s="1">
        <v>0</v>
      </c>
      <c r="DE86" s="1">
        <v>0</v>
      </c>
      <c r="DF86" s="1">
        <v>0</v>
      </c>
      <c r="DG86" s="1">
        <v>0</v>
      </c>
      <c r="DH86" s="1">
        <v>0</v>
      </c>
      <c r="DI86" s="1">
        <v>0</v>
      </c>
      <c r="DJ86" s="1">
        <v>0</v>
      </c>
      <c r="DK86" s="1">
        <v>0</v>
      </c>
      <c r="DL86" s="1">
        <v>0</v>
      </c>
      <c r="DM86" s="1">
        <v>0</v>
      </c>
      <c r="DN86" s="1">
        <v>0</v>
      </c>
      <c r="DO86" s="1">
        <v>0</v>
      </c>
      <c r="DP86" s="1">
        <v>0</v>
      </c>
      <c r="DQ86" s="1">
        <v>0</v>
      </c>
      <c r="DR86" s="1">
        <v>0</v>
      </c>
      <c r="DS86" s="1">
        <v>0</v>
      </c>
      <c r="DT86" s="1">
        <v>0</v>
      </c>
      <c r="DU86" s="1">
        <v>0</v>
      </c>
      <c r="DV86" s="1">
        <v>0</v>
      </c>
      <c r="DW86" s="1">
        <v>0</v>
      </c>
      <c r="DX86" s="1">
        <v>0</v>
      </c>
      <c r="DY86" s="1">
        <v>0</v>
      </c>
      <c r="DZ86" s="1">
        <v>0</v>
      </c>
      <c r="EA86" s="1">
        <v>0</v>
      </c>
      <c r="EB86" s="1">
        <v>0</v>
      </c>
      <c r="EC86" s="1">
        <v>0</v>
      </c>
      <c r="ED86" s="1">
        <v>0</v>
      </c>
      <c r="EE86" s="1">
        <v>0</v>
      </c>
      <c r="EF86" s="1">
        <v>0</v>
      </c>
      <c r="EG86" s="1">
        <v>0</v>
      </c>
      <c r="EH86" s="1">
        <v>0</v>
      </c>
      <c r="EI86" s="1">
        <v>0</v>
      </c>
      <c r="EJ86" s="1">
        <v>0</v>
      </c>
      <c r="EK86" s="1">
        <v>0</v>
      </c>
      <c r="EL86" s="1">
        <v>0</v>
      </c>
      <c r="EM86" s="1">
        <v>0</v>
      </c>
      <c r="EN86" s="1">
        <v>0</v>
      </c>
      <c r="EO86" s="1">
        <v>0</v>
      </c>
      <c r="EP86" s="1">
        <v>0</v>
      </c>
      <c r="EQ86" s="1">
        <v>0</v>
      </c>
      <c r="ER86" s="1">
        <v>0</v>
      </c>
      <c r="ES86" s="1">
        <v>0</v>
      </c>
      <c r="ET86" s="1">
        <v>0</v>
      </c>
      <c r="EU86" s="1">
        <v>0</v>
      </c>
      <c r="EV86" s="1">
        <v>0</v>
      </c>
      <c r="EW86" s="1">
        <v>0</v>
      </c>
      <c r="EX86" s="1">
        <v>0</v>
      </c>
      <c r="EY86" s="1">
        <v>0</v>
      </c>
      <c r="EZ86" s="1">
        <v>0</v>
      </c>
      <c r="FA86" s="1">
        <v>0</v>
      </c>
      <c r="FB86" s="1">
        <v>0</v>
      </c>
      <c r="FC86" s="1">
        <v>0</v>
      </c>
      <c r="FD86" s="1">
        <v>0</v>
      </c>
      <c r="FE86" s="1">
        <f t="shared" si="46"/>
        <v>8</v>
      </c>
      <c r="FF86" s="1">
        <f>CL157</f>
        <v>0</v>
      </c>
      <c r="FG86" s="1">
        <f t="shared" si="47"/>
        <v>0</v>
      </c>
    </row>
    <row r="87" spans="8:163" ht="15.75" thickBot="1" x14ac:dyDescent="0.3">
      <c r="H87" s="1" t="s">
        <v>13</v>
      </c>
      <c r="I87" s="1">
        <f t="shared" si="45"/>
        <v>-11</v>
      </c>
      <c r="J87" s="1">
        <f t="shared" ref="J87:J150" si="49">CJ87-CJ8*$C$2</f>
        <v>0</v>
      </c>
      <c r="K87" s="1">
        <f t="shared" ref="K87:K150" si="50">CK87-CK8*$C$2</f>
        <v>0</v>
      </c>
      <c r="L87" s="1">
        <f t="shared" ref="L87:L150" si="51">CL87-CL8*$C$2</f>
        <v>0</v>
      </c>
      <c r="M87" s="1">
        <f t="shared" ref="M87:M150" si="52">CM87-CM8*$C$2</f>
        <v>0</v>
      </c>
      <c r="N87" s="1">
        <f t="shared" ref="N87:N150" si="53">CN87-CN8*$C$2</f>
        <v>0</v>
      </c>
      <c r="O87" s="1">
        <f t="shared" ref="O87:O150" si="54">CO87-CO8*$C$2</f>
        <v>0</v>
      </c>
      <c r="P87" s="1">
        <f t="shared" ref="P87:P150" si="55">CP87-CP8*$C$2</f>
        <v>0</v>
      </c>
      <c r="Q87" s="1">
        <f t="shared" ref="Q87:Q150" si="56">CQ87-CQ8*$C$2</f>
        <v>0</v>
      </c>
      <c r="R87" s="1">
        <f t="shared" ref="R87:R150" si="57">CR87-CR8*$C$2</f>
        <v>0</v>
      </c>
      <c r="S87" s="1">
        <f t="shared" ref="S87:S150" si="58">CS87-CS8*$C$2</f>
        <v>0</v>
      </c>
      <c r="T87" s="1">
        <f t="shared" ref="T87:T150" si="59">CT87-CT8*$C$2</f>
        <v>0</v>
      </c>
      <c r="U87" s="1">
        <f t="shared" ref="U87:U150" si="60">CU87-CU8*$C$2</f>
        <v>0</v>
      </c>
      <c r="V87" s="1">
        <f t="shared" ref="V87:V150" si="61">CV87-CV8*$C$2</f>
        <v>0</v>
      </c>
      <c r="W87" s="1">
        <f t="shared" ref="W87:W150" si="62">CW87-CW8*$C$2</f>
        <v>0</v>
      </c>
      <c r="X87" s="1">
        <f t="shared" ref="X87:X150" si="63">CX87-CX8*$C$2</f>
        <v>0</v>
      </c>
      <c r="Y87" s="1">
        <f t="shared" ref="Y87:Y150" si="64">CY87-CY8*$C$2</f>
        <v>0</v>
      </c>
      <c r="Z87" s="1">
        <f t="shared" ref="Z87:Z150" si="65">CZ87-CZ8*$C$2</f>
        <v>0</v>
      </c>
      <c r="AA87" s="1">
        <f t="shared" ref="AA87:AA150" si="66">DA87-DA8*$C$2</f>
        <v>0</v>
      </c>
      <c r="AB87" s="1">
        <f t="shared" ref="AB87:AB150" si="67">DB87-DB8*$C$2</f>
        <v>0</v>
      </c>
      <c r="AC87" s="1">
        <f t="shared" ref="AC87:AC150" si="68">DC87-DC8*$C$2</f>
        <v>0</v>
      </c>
      <c r="AD87" s="1">
        <f t="shared" ref="AD87:AD150" si="69">DD87-DD8*$C$2</f>
        <v>0</v>
      </c>
      <c r="AE87" s="1">
        <f t="shared" ref="AE87:AE150" si="70">DE87-DE8*$C$2</f>
        <v>0</v>
      </c>
      <c r="AF87" s="1">
        <f t="shared" ref="AF87:AF150" si="71">DF87-DF8*$C$2</f>
        <v>0</v>
      </c>
      <c r="AG87" s="1">
        <f t="shared" ref="AG87:AG150" si="72">DG87-DG8*$C$2</f>
        <v>0</v>
      </c>
      <c r="AH87" s="1">
        <f t="shared" ref="AH87:AH150" si="73">DH87-DH8*$C$2</f>
        <v>0</v>
      </c>
      <c r="AI87" s="1">
        <f t="shared" ref="AI87:AI150" si="74">DI87-DI8*$C$2</f>
        <v>0</v>
      </c>
      <c r="AJ87" s="1">
        <f t="shared" ref="AJ87:AJ150" si="75">DJ87-DJ8*$C$2</f>
        <v>0</v>
      </c>
      <c r="AK87" s="1">
        <f t="shared" ref="AK87:AK150" si="76">DK87-DK8*$C$2</f>
        <v>0</v>
      </c>
      <c r="AL87" s="1">
        <f t="shared" ref="AL87:AL150" si="77">DL87-DL8*$C$2</f>
        <v>0</v>
      </c>
      <c r="AM87" s="1">
        <f t="shared" ref="AM87:AM150" si="78">DM87-DM8*$C$2</f>
        <v>0</v>
      </c>
      <c r="AN87" s="1">
        <f t="shared" ref="AN87:AN150" si="79">DN87-DN8*$C$2</f>
        <v>0</v>
      </c>
      <c r="AO87" s="1">
        <f t="shared" ref="AO87:AO150" si="80">DO87-DO8*$C$2</f>
        <v>0</v>
      </c>
      <c r="AP87" s="1">
        <f t="shared" ref="AP87:AP150" si="81">DP87-DP8*$C$2</f>
        <v>0</v>
      </c>
      <c r="AQ87" s="1">
        <f t="shared" ref="AQ87:AQ150" si="82">DQ87-DQ8*$C$2</f>
        <v>0</v>
      </c>
      <c r="AR87" s="1">
        <f t="shared" ref="AR87:AR150" si="83">DR87-DR8*$C$2</f>
        <v>0</v>
      </c>
      <c r="AS87" s="1">
        <f t="shared" ref="AS87:AS150" si="84">DS87-DS8*$C$2</f>
        <v>0</v>
      </c>
      <c r="AT87" s="1">
        <f t="shared" ref="AT87:AT150" si="85">DT87-DT8*$C$2</f>
        <v>0</v>
      </c>
      <c r="AU87" s="1">
        <f t="shared" ref="AU87:AU150" si="86">DU87-DU8*$C$2</f>
        <v>0</v>
      </c>
      <c r="AV87" s="1">
        <f t="shared" ref="AV87:AV150" si="87">DV87-DV8*$C$2</f>
        <v>0</v>
      </c>
      <c r="AW87" s="1">
        <f t="shared" ref="AW87:AW150" si="88">DW87-DW8*$C$2</f>
        <v>0</v>
      </c>
      <c r="AX87" s="1">
        <f t="shared" ref="AX87:AX150" si="89">DX87-DX8*$C$2</f>
        <v>0</v>
      </c>
      <c r="AY87" s="1">
        <f t="shared" ref="AY87:AY150" si="90">DY87-DY8*$C$2</f>
        <v>0</v>
      </c>
      <c r="AZ87" s="1">
        <f t="shared" ref="AZ87:AZ150" si="91">DZ87-DZ8*$C$2</f>
        <v>0</v>
      </c>
      <c r="BA87" s="1">
        <f t="shared" ref="BA87:BA150" si="92">EA87-EA8*$C$2</f>
        <v>0</v>
      </c>
      <c r="BB87" s="1">
        <f t="shared" ref="BB87:BB150" si="93">EB87-EB8*$C$2</f>
        <v>0</v>
      </c>
      <c r="BC87" s="1">
        <f t="shared" ref="BC87:BC150" si="94">EC87-EC8*$C$2</f>
        <v>0</v>
      </c>
      <c r="BD87" s="1">
        <f t="shared" ref="BD87:BD150" si="95">ED87-ED8*$C$2</f>
        <v>0</v>
      </c>
      <c r="BE87" s="1">
        <f t="shared" ref="BE87:BE150" si="96">EE87-EE8*$C$2</f>
        <v>0</v>
      </c>
      <c r="BF87" s="1">
        <f t="shared" ref="BF87:BF150" si="97">EF87-EF8*$C$2</f>
        <v>0</v>
      </c>
      <c r="BG87" s="1">
        <f t="shared" ref="BG87:BG150" si="98">EG87-EG8*$C$2</f>
        <v>0</v>
      </c>
      <c r="BH87" s="1">
        <f t="shared" ref="BH87:BH150" si="99">EH87-EH8*$C$2</f>
        <v>0</v>
      </c>
      <c r="BI87" s="1">
        <f t="shared" ref="BI87:BI150" si="100">EI87-EI8*$C$2</f>
        <v>0</v>
      </c>
      <c r="BJ87" s="1">
        <f t="shared" ref="BJ87:BJ150" si="101">EJ87-EJ8*$C$2</f>
        <v>0</v>
      </c>
      <c r="BK87" s="1">
        <f t="shared" ref="BK87:BK150" si="102">EK87-EK8*$C$2</f>
        <v>0</v>
      </c>
      <c r="BL87" s="1">
        <f t="shared" ref="BL87:BL150" si="103">EL87-EL8*$C$2</f>
        <v>0</v>
      </c>
      <c r="BM87" s="1">
        <f t="shared" ref="BM87:BM150" si="104">EM87-EM8*$C$2</f>
        <v>0</v>
      </c>
      <c r="BN87" s="1">
        <f t="shared" ref="BN87:BN150" si="105">EN87-EN8*$C$2</f>
        <v>0</v>
      </c>
      <c r="BO87" s="1">
        <f t="shared" ref="BO87:BO150" si="106">EO87-EO8*$C$2</f>
        <v>0</v>
      </c>
      <c r="BP87" s="1">
        <f t="shared" ref="BP87:BP150" si="107">EP87-EP8*$C$2</f>
        <v>0</v>
      </c>
      <c r="BQ87" s="1">
        <f t="shared" ref="BQ87:BQ150" si="108">EQ87-EQ8*$C$2</f>
        <v>0</v>
      </c>
      <c r="BR87" s="1">
        <f t="shared" ref="BR87:BR150" si="109">ER87-ER8*$C$2</f>
        <v>0</v>
      </c>
      <c r="BS87" s="1">
        <f t="shared" ref="BS87:BS150" si="110">ES87-ES8*$C$2</f>
        <v>0</v>
      </c>
      <c r="BT87" s="1">
        <f t="shared" ref="BT87:BT150" si="111">ET87-ET8*$C$2</f>
        <v>0</v>
      </c>
      <c r="BU87" s="1">
        <f t="shared" si="48"/>
        <v>0</v>
      </c>
      <c r="BV87" s="1">
        <f t="shared" si="44"/>
        <v>0</v>
      </c>
      <c r="BW87" s="1">
        <f t="shared" si="44"/>
        <v>0</v>
      </c>
      <c r="BX87" s="1">
        <f t="shared" si="44"/>
        <v>0</v>
      </c>
      <c r="BY87" s="1">
        <f t="shared" si="44"/>
        <v>0</v>
      </c>
      <c r="BZ87" s="1">
        <f t="shared" si="44"/>
        <v>0</v>
      </c>
      <c r="CA87" s="1">
        <f t="shared" si="44"/>
        <v>0</v>
      </c>
      <c r="CB87" s="1">
        <f t="shared" si="44"/>
        <v>0</v>
      </c>
      <c r="CC87" s="1">
        <f t="shared" si="44"/>
        <v>0</v>
      </c>
      <c r="CD87" s="1">
        <f t="shared" si="44"/>
        <v>0</v>
      </c>
      <c r="CE87" s="1"/>
      <c r="CH87" s="1" t="s">
        <v>13</v>
      </c>
      <c r="CI87" s="1">
        <v>59</v>
      </c>
      <c r="CJ87" s="1">
        <v>0</v>
      </c>
      <c r="CK87" s="1">
        <v>0</v>
      </c>
      <c r="CL87" s="1">
        <v>0</v>
      </c>
      <c r="CM87" s="1">
        <v>0</v>
      </c>
      <c r="CN87" s="1">
        <v>0</v>
      </c>
      <c r="CO87" s="1">
        <v>0</v>
      </c>
      <c r="CP87" s="1">
        <v>0</v>
      </c>
      <c r="CQ87" s="1">
        <v>0</v>
      </c>
      <c r="CR87" s="1">
        <v>0</v>
      </c>
      <c r="CS87" s="1">
        <v>0</v>
      </c>
      <c r="CT87" s="1">
        <v>0</v>
      </c>
      <c r="CU87" s="1">
        <v>0</v>
      </c>
      <c r="CV87" s="1">
        <v>0</v>
      </c>
      <c r="CW87" s="1">
        <v>0</v>
      </c>
      <c r="CX87" s="1">
        <v>0</v>
      </c>
      <c r="CY87" s="1">
        <v>0</v>
      </c>
      <c r="CZ87" s="1">
        <v>0</v>
      </c>
      <c r="DA87" s="1">
        <v>0</v>
      </c>
      <c r="DB87" s="1">
        <v>0</v>
      </c>
      <c r="DC87" s="1">
        <v>0</v>
      </c>
      <c r="DD87" s="1">
        <v>0</v>
      </c>
      <c r="DE87" s="1">
        <v>0</v>
      </c>
      <c r="DF87" s="1">
        <v>0</v>
      </c>
      <c r="DG87" s="1">
        <v>0</v>
      </c>
      <c r="DH87" s="1">
        <v>0</v>
      </c>
      <c r="DI87" s="1">
        <v>0</v>
      </c>
      <c r="DJ87" s="1">
        <v>0</v>
      </c>
      <c r="DK87" s="1">
        <v>0</v>
      </c>
      <c r="DL87" s="1">
        <v>0</v>
      </c>
      <c r="DM87" s="1">
        <v>0</v>
      </c>
      <c r="DN87" s="1">
        <v>0</v>
      </c>
      <c r="DO87" s="1">
        <v>0</v>
      </c>
      <c r="DP87" s="1">
        <v>0</v>
      </c>
      <c r="DQ87" s="1">
        <v>0</v>
      </c>
      <c r="DR87" s="1">
        <v>0</v>
      </c>
      <c r="DS87" s="1">
        <v>0</v>
      </c>
      <c r="DT87" s="1">
        <v>0</v>
      </c>
      <c r="DU87" s="1">
        <v>0</v>
      </c>
      <c r="DV87" s="1">
        <v>0</v>
      </c>
      <c r="DW87" s="1">
        <v>0</v>
      </c>
      <c r="DX87" s="1">
        <v>0</v>
      </c>
      <c r="DY87" s="1">
        <v>0</v>
      </c>
      <c r="DZ87" s="1">
        <v>0</v>
      </c>
      <c r="EA87" s="1">
        <v>0</v>
      </c>
      <c r="EB87" s="1">
        <v>0</v>
      </c>
      <c r="EC87" s="1">
        <v>0</v>
      </c>
      <c r="ED87" s="1">
        <v>0</v>
      </c>
      <c r="EE87" s="1">
        <v>0</v>
      </c>
      <c r="EF87" s="1">
        <v>0</v>
      </c>
      <c r="EG87" s="1">
        <v>0</v>
      </c>
      <c r="EH87" s="1">
        <v>0</v>
      </c>
      <c r="EI87" s="1">
        <v>0</v>
      </c>
      <c r="EJ87" s="1">
        <v>0</v>
      </c>
      <c r="EK87" s="1">
        <v>0</v>
      </c>
      <c r="EL87" s="1">
        <v>0</v>
      </c>
      <c r="EM87" s="1">
        <v>0</v>
      </c>
      <c r="EN87" s="1">
        <v>0</v>
      </c>
      <c r="EO87" s="1">
        <v>0</v>
      </c>
      <c r="EP87" s="1">
        <v>0</v>
      </c>
      <c r="EQ87" s="1">
        <v>0</v>
      </c>
      <c r="ER87" s="1">
        <v>0</v>
      </c>
      <c r="ES87" s="1">
        <v>0</v>
      </c>
      <c r="ET87" s="1">
        <v>0</v>
      </c>
      <c r="EU87" s="1">
        <v>0</v>
      </c>
      <c r="EV87" s="1">
        <v>0</v>
      </c>
      <c r="EW87" s="1">
        <v>0</v>
      </c>
      <c r="EX87" s="1">
        <v>0</v>
      </c>
      <c r="EY87" s="1">
        <v>0</v>
      </c>
      <c r="EZ87" s="1">
        <v>0</v>
      </c>
      <c r="FA87" s="1">
        <v>0</v>
      </c>
      <c r="FB87" s="1">
        <v>0</v>
      </c>
      <c r="FC87" s="1">
        <v>0</v>
      </c>
      <c r="FD87" s="1">
        <v>0</v>
      </c>
      <c r="FE87" s="1">
        <f t="shared" si="46"/>
        <v>59</v>
      </c>
      <c r="FF87" s="1">
        <f>CM157</f>
        <v>56</v>
      </c>
      <c r="FG87" s="1">
        <f t="shared" si="47"/>
        <v>0</v>
      </c>
    </row>
    <row r="88" spans="8:163" ht="15.75" thickBot="1" x14ac:dyDescent="0.3">
      <c r="H88" s="1" t="s">
        <v>21</v>
      </c>
      <c r="I88" s="1">
        <f t="shared" si="45"/>
        <v>-1</v>
      </c>
      <c r="J88" s="1">
        <f t="shared" si="49"/>
        <v>0</v>
      </c>
      <c r="K88" s="1">
        <f t="shared" si="50"/>
        <v>0</v>
      </c>
      <c r="L88" s="1">
        <f t="shared" si="51"/>
        <v>0</v>
      </c>
      <c r="M88" s="1">
        <f t="shared" si="52"/>
        <v>0</v>
      </c>
      <c r="N88" s="1">
        <f t="shared" si="53"/>
        <v>0</v>
      </c>
      <c r="O88" s="1">
        <f t="shared" si="54"/>
        <v>0</v>
      </c>
      <c r="P88" s="1">
        <f t="shared" si="55"/>
        <v>0</v>
      </c>
      <c r="Q88" s="1">
        <f t="shared" si="56"/>
        <v>0</v>
      </c>
      <c r="R88" s="1">
        <f t="shared" si="57"/>
        <v>0</v>
      </c>
      <c r="S88" s="1">
        <f t="shared" si="58"/>
        <v>0</v>
      </c>
      <c r="T88" s="1">
        <f t="shared" si="59"/>
        <v>0</v>
      </c>
      <c r="U88" s="1">
        <f t="shared" si="60"/>
        <v>0</v>
      </c>
      <c r="V88" s="1">
        <f t="shared" si="61"/>
        <v>0</v>
      </c>
      <c r="W88" s="1">
        <f t="shared" si="62"/>
        <v>0</v>
      </c>
      <c r="X88" s="1">
        <f t="shared" si="63"/>
        <v>0</v>
      </c>
      <c r="Y88" s="1">
        <f t="shared" si="64"/>
        <v>0</v>
      </c>
      <c r="Z88" s="1">
        <f t="shared" si="65"/>
        <v>0</v>
      </c>
      <c r="AA88" s="1">
        <f t="shared" si="66"/>
        <v>0</v>
      </c>
      <c r="AB88" s="1">
        <f t="shared" si="67"/>
        <v>0</v>
      </c>
      <c r="AC88" s="1">
        <f t="shared" si="68"/>
        <v>0</v>
      </c>
      <c r="AD88" s="1">
        <f t="shared" si="69"/>
        <v>0</v>
      </c>
      <c r="AE88" s="1">
        <f t="shared" si="70"/>
        <v>0</v>
      </c>
      <c r="AF88" s="1">
        <f t="shared" si="71"/>
        <v>0</v>
      </c>
      <c r="AG88" s="1">
        <f t="shared" si="72"/>
        <v>0</v>
      </c>
      <c r="AH88" s="1">
        <f t="shared" si="73"/>
        <v>0</v>
      </c>
      <c r="AI88" s="1">
        <f t="shared" si="74"/>
        <v>0</v>
      </c>
      <c r="AJ88" s="1">
        <f t="shared" si="75"/>
        <v>0</v>
      </c>
      <c r="AK88" s="1">
        <f t="shared" si="76"/>
        <v>0</v>
      </c>
      <c r="AL88" s="1">
        <f t="shared" si="77"/>
        <v>0</v>
      </c>
      <c r="AM88" s="1">
        <f t="shared" si="78"/>
        <v>0</v>
      </c>
      <c r="AN88" s="1">
        <f t="shared" si="79"/>
        <v>0</v>
      </c>
      <c r="AO88" s="1">
        <f t="shared" si="80"/>
        <v>0</v>
      </c>
      <c r="AP88" s="1">
        <f t="shared" si="81"/>
        <v>0</v>
      </c>
      <c r="AQ88" s="1">
        <f t="shared" si="82"/>
        <v>0</v>
      </c>
      <c r="AR88" s="1">
        <f t="shared" si="83"/>
        <v>0</v>
      </c>
      <c r="AS88" s="1">
        <f t="shared" si="84"/>
        <v>0</v>
      </c>
      <c r="AT88" s="1">
        <f t="shared" si="85"/>
        <v>0</v>
      </c>
      <c r="AU88" s="1">
        <f t="shared" si="86"/>
        <v>0</v>
      </c>
      <c r="AV88" s="1">
        <f t="shared" si="87"/>
        <v>0</v>
      </c>
      <c r="AW88" s="1">
        <f t="shared" si="88"/>
        <v>0</v>
      </c>
      <c r="AX88" s="1">
        <f t="shared" si="89"/>
        <v>0</v>
      </c>
      <c r="AY88" s="1">
        <f t="shared" si="90"/>
        <v>0</v>
      </c>
      <c r="AZ88" s="1">
        <f t="shared" si="91"/>
        <v>0</v>
      </c>
      <c r="BA88" s="1">
        <f t="shared" si="92"/>
        <v>0</v>
      </c>
      <c r="BB88" s="1">
        <f t="shared" si="93"/>
        <v>0</v>
      </c>
      <c r="BC88" s="1">
        <f t="shared" si="94"/>
        <v>0</v>
      </c>
      <c r="BD88" s="1">
        <f t="shared" si="95"/>
        <v>0</v>
      </c>
      <c r="BE88" s="1">
        <f t="shared" si="96"/>
        <v>0</v>
      </c>
      <c r="BF88" s="1">
        <f t="shared" si="97"/>
        <v>0</v>
      </c>
      <c r="BG88" s="1">
        <f t="shared" si="98"/>
        <v>0</v>
      </c>
      <c r="BH88" s="1">
        <f t="shared" si="99"/>
        <v>0</v>
      </c>
      <c r="BI88" s="1">
        <f t="shared" si="100"/>
        <v>0</v>
      </c>
      <c r="BJ88" s="1">
        <f t="shared" si="101"/>
        <v>0</v>
      </c>
      <c r="BK88" s="1">
        <f t="shared" si="102"/>
        <v>0</v>
      </c>
      <c r="BL88" s="1">
        <f t="shared" si="103"/>
        <v>0</v>
      </c>
      <c r="BM88" s="1">
        <f t="shared" si="104"/>
        <v>0</v>
      </c>
      <c r="BN88" s="1">
        <f t="shared" si="105"/>
        <v>0</v>
      </c>
      <c r="BO88" s="1">
        <f t="shared" si="106"/>
        <v>0</v>
      </c>
      <c r="BP88" s="1">
        <f t="shared" si="107"/>
        <v>0</v>
      </c>
      <c r="BQ88" s="1">
        <f t="shared" si="108"/>
        <v>0</v>
      </c>
      <c r="BR88" s="1">
        <f t="shared" si="109"/>
        <v>0</v>
      </c>
      <c r="BS88" s="1">
        <f t="shared" si="110"/>
        <v>0</v>
      </c>
      <c r="BT88" s="1">
        <f t="shared" si="111"/>
        <v>0</v>
      </c>
      <c r="BU88" s="1">
        <f t="shared" si="48"/>
        <v>0</v>
      </c>
      <c r="BV88" s="1">
        <f t="shared" si="44"/>
        <v>0</v>
      </c>
      <c r="BW88" s="1">
        <f t="shared" si="44"/>
        <v>0</v>
      </c>
      <c r="BX88" s="1">
        <f t="shared" si="44"/>
        <v>0</v>
      </c>
      <c r="BY88" s="1">
        <f t="shared" si="44"/>
        <v>0</v>
      </c>
      <c r="BZ88" s="1">
        <f t="shared" si="44"/>
        <v>0</v>
      </c>
      <c r="CA88" s="1">
        <f t="shared" si="44"/>
        <v>0</v>
      </c>
      <c r="CB88" s="1">
        <f t="shared" si="44"/>
        <v>0</v>
      </c>
      <c r="CC88" s="1">
        <f t="shared" si="44"/>
        <v>0</v>
      </c>
      <c r="CD88" s="1">
        <f t="shared" si="44"/>
        <v>0</v>
      </c>
      <c r="CE88" s="1"/>
      <c r="CH88" s="1" t="s">
        <v>21</v>
      </c>
      <c r="CI88" s="1">
        <v>69</v>
      </c>
      <c r="CJ88" s="1">
        <v>0</v>
      </c>
      <c r="CK88" s="1">
        <v>0</v>
      </c>
      <c r="CL88" s="1">
        <v>0</v>
      </c>
      <c r="CM88" s="1">
        <v>0</v>
      </c>
      <c r="CN88" s="1">
        <v>0</v>
      </c>
      <c r="CO88" s="1">
        <v>0</v>
      </c>
      <c r="CP88" s="1">
        <v>0</v>
      </c>
      <c r="CQ88" s="1">
        <v>0</v>
      </c>
      <c r="CR88" s="1">
        <v>0</v>
      </c>
      <c r="CS88" s="1">
        <v>0</v>
      </c>
      <c r="CT88" s="1">
        <v>0</v>
      </c>
      <c r="CU88" s="1">
        <v>0</v>
      </c>
      <c r="CV88" s="1">
        <v>0</v>
      </c>
      <c r="CW88" s="1">
        <v>0</v>
      </c>
      <c r="CX88" s="1">
        <v>0</v>
      </c>
      <c r="CY88" s="1">
        <v>0</v>
      </c>
      <c r="CZ88" s="1">
        <v>0</v>
      </c>
      <c r="DA88" s="1">
        <v>0</v>
      </c>
      <c r="DB88" s="1">
        <v>0</v>
      </c>
      <c r="DC88" s="1">
        <v>0</v>
      </c>
      <c r="DD88" s="1">
        <v>0</v>
      </c>
      <c r="DE88" s="1">
        <v>0</v>
      </c>
      <c r="DF88" s="1">
        <v>0</v>
      </c>
      <c r="DG88" s="1">
        <v>0</v>
      </c>
      <c r="DH88" s="1">
        <v>0</v>
      </c>
      <c r="DI88" s="1">
        <v>0</v>
      </c>
      <c r="DJ88" s="1">
        <v>0</v>
      </c>
      <c r="DK88" s="1">
        <v>0</v>
      </c>
      <c r="DL88" s="1">
        <v>0</v>
      </c>
      <c r="DM88" s="1">
        <v>0</v>
      </c>
      <c r="DN88" s="1">
        <v>0</v>
      </c>
      <c r="DO88" s="1">
        <v>0</v>
      </c>
      <c r="DP88" s="1">
        <v>0</v>
      </c>
      <c r="DQ88" s="1">
        <v>0</v>
      </c>
      <c r="DR88" s="1">
        <v>0</v>
      </c>
      <c r="DS88" s="1">
        <v>0</v>
      </c>
      <c r="DT88" s="1">
        <v>0</v>
      </c>
      <c r="DU88" s="1">
        <v>0</v>
      </c>
      <c r="DV88" s="1">
        <v>0</v>
      </c>
      <c r="DW88" s="1">
        <v>0</v>
      </c>
      <c r="DX88" s="1">
        <v>0</v>
      </c>
      <c r="DY88" s="1">
        <v>0</v>
      </c>
      <c r="DZ88" s="1">
        <v>0</v>
      </c>
      <c r="EA88" s="1">
        <v>0</v>
      </c>
      <c r="EB88" s="1">
        <v>0</v>
      </c>
      <c r="EC88" s="1">
        <v>0</v>
      </c>
      <c r="ED88" s="1">
        <v>0</v>
      </c>
      <c r="EE88" s="1">
        <v>0</v>
      </c>
      <c r="EF88" s="1">
        <v>0</v>
      </c>
      <c r="EG88" s="1">
        <v>0</v>
      </c>
      <c r="EH88" s="1">
        <v>0</v>
      </c>
      <c r="EI88" s="1">
        <v>0</v>
      </c>
      <c r="EJ88" s="1">
        <v>0</v>
      </c>
      <c r="EK88" s="1">
        <v>0</v>
      </c>
      <c r="EL88" s="1">
        <v>0</v>
      </c>
      <c r="EM88" s="1">
        <v>0</v>
      </c>
      <c r="EN88" s="1">
        <v>0</v>
      </c>
      <c r="EO88" s="1">
        <v>0</v>
      </c>
      <c r="EP88" s="1">
        <v>0</v>
      </c>
      <c r="EQ88" s="1">
        <v>0</v>
      </c>
      <c r="ER88" s="1">
        <v>0</v>
      </c>
      <c r="ES88" s="1">
        <v>0</v>
      </c>
      <c r="ET88" s="1">
        <v>0</v>
      </c>
      <c r="EU88" s="1">
        <v>0</v>
      </c>
      <c r="EV88" s="1">
        <v>0</v>
      </c>
      <c r="EW88" s="1">
        <v>0</v>
      </c>
      <c r="EX88" s="1">
        <v>0</v>
      </c>
      <c r="EY88" s="1">
        <v>0</v>
      </c>
      <c r="EZ88" s="1">
        <v>0</v>
      </c>
      <c r="FA88" s="1">
        <v>0</v>
      </c>
      <c r="FB88" s="1">
        <v>0</v>
      </c>
      <c r="FC88" s="1">
        <v>0</v>
      </c>
      <c r="FD88" s="1">
        <v>0</v>
      </c>
      <c r="FE88" s="1">
        <f t="shared" si="46"/>
        <v>69</v>
      </c>
      <c r="FF88" s="1">
        <f>CN157</f>
        <v>65</v>
      </c>
      <c r="FG88" s="1">
        <f t="shared" si="47"/>
        <v>0</v>
      </c>
    </row>
    <row r="89" spans="8:163" ht="15.75" thickBot="1" x14ac:dyDescent="0.3">
      <c r="H89" s="1" t="s">
        <v>22</v>
      </c>
      <c r="I89" s="1">
        <f t="shared" si="45"/>
        <v>0</v>
      </c>
      <c r="J89" s="1">
        <f t="shared" si="49"/>
        <v>0</v>
      </c>
      <c r="K89" s="1">
        <f t="shared" si="50"/>
        <v>0</v>
      </c>
      <c r="L89" s="1">
        <f t="shared" si="51"/>
        <v>0</v>
      </c>
      <c r="M89" s="1">
        <f t="shared" si="52"/>
        <v>0</v>
      </c>
      <c r="N89" s="1">
        <f t="shared" si="53"/>
        <v>0</v>
      </c>
      <c r="O89" s="1">
        <f t="shared" si="54"/>
        <v>0</v>
      </c>
      <c r="P89" s="1">
        <f t="shared" si="55"/>
        <v>0</v>
      </c>
      <c r="Q89" s="1">
        <f t="shared" si="56"/>
        <v>0</v>
      </c>
      <c r="R89" s="1">
        <f t="shared" si="57"/>
        <v>0</v>
      </c>
      <c r="S89" s="1">
        <f t="shared" si="58"/>
        <v>0</v>
      </c>
      <c r="T89" s="1">
        <f t="shared" si="59"/>
        <v>0</v>
      </c>
      <c r="U89" s="1">
        <f t="shared" si="60"/>
        <v>0</v>
      </c>
      <c r="V89" s="1">
        <f t="shared" si="61"/>
        <v>0</v>
      </c>
      <c r="W89" s="1">
        <f t="shared" si="62"/>
        <v>0</v>
      </c>
      <c r="X89" s="1">
        <f t="shared" si="63"/>
        <v>-44</v>
      </c>
      <c r="Y89" s="1">
        <f t="shared" si="64"/>
        <v>0</v>
      </c>
      <c r="Z89" s="1">
        <f t="shared" si="65"/>
        <v>0</v>
      </c>
      <c r="AA89" s="1">
        <f t="shared" si="66"/>
        <v>0</v>
      </c>
      <c r="AB89" s="1">
        <f t="shared" si="67"/>
        <v>0</v>
      </c>
      <c r="AC89" s="1">
        <f t="shared" si="68"/>
        <v>0</v>
      </c>
      <c r="AD89" s="1">
        <f t="shared" si="69"/>
        <v>0</v>
      </c>
      <c r="AE89" s="1">
        <f t="shared" si="70"/>
        <v>0</v>
      </c>
      <c r="AF89" s="1">
        <f t="shared" si="71"/>
        <v>0</v>
      </c>
      <c r="AG89" s="1">
        <f t="shared" si="72"/>
        <v>0</v>
      </c>
      <c r="AH89" s="1">
        <f t="shared" si="73"/>
        <v>0</v>
      </c>
      <c r="AI89" s="1">
        <f t="shared" si="74"/>
        <v>0</v>
      </c>
      <c r="AJ89" s="1">
        <f t="shared" si="75"/>
        <v>0</v>
      </c>
      <c r="AK89" s="1">
        <f t="shared" si="76"/>
        <v>0</v>
      </c>
      <c r="AL89" s="1">
        <f t="shared" si="77"/>
        <v>0</v>
      </c>
      <c r="AM89" s="1">
        <f t="shared" si="78"/>
        <v>0</v>
      </c>
      <c r="AN89" s="1">
        <f t="shared" si="79"/>
        <v>0</v>
      </c>
      <c r="AO89" s="1">
        <f t="shared" si="80"/>
        <v>0</v>
      </c>
      <c r="AP89" s="1">
        <f t="shared" si="81"/>
        <v>0</v>
      </c>
      <c r="AQ89" s="1">
        <f t="shared" si="82"/>
        <v>0</v>
      </c>
      <c r="AR89" s="1">
        <f t="shared" si="83"/>
        <v>0</v>
      </c>
      <c r="AS89" s="1">
        <f t="shared" si="84"/>
        <v>0</v>
      </c>
      <c r="AT89" s="1">
        <f t="shared" si="85"/>
        <v>0</v>
      </c>
      <c r="AU89" s="1">
        <f t="shared" si="86"/>
        <v>0</v>
      </c>
      <c r="AV89" s="1">
        <f t="shared" si="87"/>
        <v>0</v>
      </c>
      <c r="AW89" s="1">
        <f t="shared" si="88"/>
        <v>0</v>
      </c>
      <c r="AX89" s="1">
        <f t="shared" si="89"/>
        <v>0</v>
      </c>
      <c r="AY89" s="1">
        <f t="shared" si="90"/>
        <v>0</v>
      </c>
      <c r="AZ89" s="1">
        <f t="shared" si="91"/>
        <v>0</v>
      </c>
      <c r="BA89" s="1">
        <f t="shared" si="92"/>
        <v>0</v>
      </c>
      <c r="BB89" s="1">
        <f t="shared" si="93"/>
        <v>0</v>
      </c>
      <c r="BC89" s="1">
        <f t="shared" si="94"/>
        <v>0</v>
      </c>
      <c r="BD89" s="1">
        <f t="shared" si="95"/>
        <v>0</v>
      </c>
      <c r="BE89" s="1">
        <f t="shared" si="96"/>
        <v>0</v>
      </c>
      <c r="BF89" s="1">
        <f t="shared" si="97"/>
        <v>0</v>
      </c>
      <c r="BG89" s="1">
        <f t="shared" si="98"/>
        <v>0</v>
      </c>
      <c r="BH89" s="1">
        <f t="shared" si="99"/>
        <v>0</v>
      </c>
      <c r="BI89" s="1">
        <f t="shared" si="100"/>
        <v>0</v>
      </c>
      <c r="BJ89" s="1">
        <f t="shared" si="101"/>
        <v>0</v>
      </c>
      <c r="BK89" s="1">
        <f t="shared" si="102"/>
        <v>0</v>
      </c>
      <c r="BL89" s="1">
        <f t="shared" si="103"/>
        <v>0</v>
      </c>
      <c r="BM89" s="1">
        <f t="shared" si="104"/>
        <v>0</v>
      </c>
      <c r="BN89" s="1">
        <f t="shared" si="105"/>
        <v>0</v>
      </c>
      <c r="BO89" s="1">
        <f t="shared" si="106"/>
        <v>0</v>
      </c>
      <c r="BP89" s="1">
        <f t="shared" si="107"/>
        <v>0</v>
      </c>
      <c r="BQ89" s="1">
        <f t="shared" si="108"/>
        <v>0</v>
      </c>
      <c r="BR89" s="1">
        <f t="shared" si="109"/>
        <v>0</v>
      </c>
      <c r="BS89" s="1">
        <f t="shared" si="110"/>
        <v>0</v>
      </c>
      <c r="BT89" s="1">
        <f t="shared" si="111"/>
        <v>0</v>
      </c>
      <c r="BU89" s="1">
        <f t="shared" si="48"/>
        <v>0</v>
      </c>
      <c r="BV89" s="1">
        <f t="shared" si="44"/>
        <v>0</v>
      </c>
      <c r="BW89" s="1">
        <f t="shared" si="44"/>
        <v>0</v>
      </c>
      <c r="BX89" s="1">
        <f t="shared" si="44"/>
        <v>0</v>
      </c>
      <c r="BY89" s="1">
        <f t="shared" si="44"/>
        <v>0</v>
      </c>
      <c r="BZ89" s="1">
        <f t="shared" si="44"/>
        <v>0</v>
      </c>
      <c r="CA89" s="1">
        <f t="shared" si="44"/>
        <v>0</v>
      </c>
      <c r="CB89" s="1">
        <f t="shared" si="44"/>
        <v>0</v>
      </c>
      <c r="CC89" s="1">
        <f t="shared" si="44"/>
        <v>0</v>
      </c>
      <c r="CD89" s="1">
        <f t="shared" si="44"/>
        <v>0</v>
      </c>
      <c r="CE89" s="1"/>
      <c r="CH89" s="1" t="s">
        <v>22</v>
      </c>
      <c r="CI89" s="1">
        <v>0</v>
      </c>
      <c r="CJ89" s="1">
        <v>0</v>
      </c>
      <c r="CK89" s="1">
        <v>0</v>
      </c>
      <c r="CL89" s="1">
        <v>0</v>
      </c>
      <c r="CM89" s="1">
        <v>0</v>
      </c>
      <c r="CN89" s="1">
        <v>0</v>
      </c>
      <c r="CO89" s="1">
        <v>0</v>
      </c>
      <c r="CP89" s="1">
        <v>0</v>
      </c>
      <c r="CQ89" s="1">
        <v>0</v>
      </c>
      <c r="CR89" s="1">
        <v>0</v>
      </c>
      <c r="CS89" s="1">
        <v>0</v>
      </c>
      <c r="CT89" s="1">
        <v>0</v>
      </c>
      <c r="CU89" s="1">
        <v>0</v>
      </c>
      <c r="CV89" s="1">
        <v>0</v>
      </c>
      <c r="CW89" s="1">
        <v>0</v>
      </c>
      <c r="CX89" s="1">
        <v>26</v>
      </c>
      <c r="CY89" s="1">
        <v>0</v>
      </c>
      <c r="CZ89" s="1">
        <v>0</v>
      </c>
      <c r="DA89" s="1">
        <v>0</v>
      </c>
      <c r="DB89" s="1">
        <v>0</v>
      </c>
      <c r="DC89" s="1">
        <v>0</v>
      </c>
      <c r="DD89" s="1">
        <v>0</v>
      </c>
      <c r="DE89" s="1">
        <v>0</v>
      </c>
      <c r="DF89" s="1">
        <v>0</v>
      </c>
      <c r="DG89" s="1">
        <v>0</v>
      </c>
      <c r="DH89" s="1">
        <v>0</v>
      </c>
      <c r="DI89" s="1">
        <v>0</v>
      </c>
      <c r="DJ89" s="1">
        <v>0</v>
      </c>
      <c r="DK89" s="1">
        <v>0</v>
      </c>
      <c r="DL89" s="1">
        <v>0</v>
      </c>
      <c r="DM89" s="1">
        <v>0</v>
      </c>
      <c r="DN89" s="1">
        <v>0</v>
      </c>
      <c r="DO89" s="1">
        <v>0</v>
      </c>
      <c r="DP89" s="1">
        <v>0</v>
      </c>
      <c r="DQ89" s="1">
        <v>0</v>
      </c>
      <c r="DR89" s="1">
        <v>0</v>
      </c>
      <c r="DS89" s="1">
        <v>0</v>
      </c>
      <c r="DT89" s="1">
        <v>0</v>
      </c>
      <c r="DU89" s="1">
        <v>0</v>
      </c>
      <c r="DV89" s="1">
        <v>0</v>
      </c>
      <c r="DW89" s="1">
        <v>0</v>
      </c>
      <c r="DX89" s="1">
        <v>0</v>
      </c>
      <c r="DY89" s="1">
        <v>0</v>
      </c>
      <c r="DZ89" s="1">
        <v>0</v>
      </c>
      <c r="EA89" s="1">
        <v>0</v>
      </c>
      <c r="EB89" s="1">
        <v>0</v>
      </c>
      <c r="EC89" s="1">
        <v>0</v>
      </c>
      <c r="ED89" s="1">
        <v>0</v>
      </c>
      <c r="EE89" s="1">
        <v>0</v>
      </c>
      <c r="EF89" s="1">
        <v>0</v>
      </c>
      <c r="EG89" s="1">
        <v>0</v>
      </c>
      <c r="EH89" s="1">
        <v>0</v>
      </c>
      <c r="EI89" s="1">
        <v>0</v>
      </c>
      <c r="EJ89" s="1">
        <v>0</v>
      </c>
      <c r="EK89" s="1">
        <v>0</v>
      </c>
      <c r="EL89" s="1">
        <v>0</v>
      </c>
      <c r="EM89" s="1">
        <v>0</v>
      </c>
      <c r="EN89" s="1">
        <v>0</v>
      </c>
      <c r="EO89" s="1">
        <v>0</v>
      </c>
      <c r="EP89" s="1">
        <v>0</v>
      </c>
      <c r="EQ89" s="1">
        <v>0</v>
      </c>
      <c r="ER89" s="1">
        <v>0</v>
      </c>
      <c r="ES89" s="1">
        <v>0</v>
      </c>
      <c r="ET89" s="1">
        <v>0</v>
      </c>
      <c r="EU89" s="1">
        <v>0</v>
      </c>
      <c r="EV89" s="1">
        <v>0</v>
      </c>
      <c r="EW89" s="1">
        <v>0</v>
      </c>
      <c r="EX89" s="1">
        <v>0</v>
      </c>
      <c r="EY89" s="1">
        <v>0</v>
      </c>
      <c r="EZ89" s="1">
        <v>0</v>
      </c>
      <c r="FA89" s="1">
        <v>0</v>
      </c>
      <c r="FB89" s="1">
        <v>0</v>
      </c>
      <c r="FC89" s="1">
        <v>0</v>
      </c>
      <c r="FD89" s="1">
        <v>0</v>
      </c>
      <c r="FE89" s="1">
        <f t="shared" si="46"/>
        <v>26</v>
      </c>
      <c r="FF89" s="1">
        <f>CO157</f>
        <v>18</v>
      </c>
      <c r="FG89" s="1">
        <f t="shared" si="47"/>
        <v>0</v>
      </c>
    </row>
    <row r="90" spans="8:163" ht="15.75" thickBot="1" x14ac:dyDescent="0.3">
      <c r="H90" s="1" t="s">
        <v>23</v>
      </c>
      <c r="I90" s="1">
        <f t="shared" si="45"/>
        <v>0</v>
      </c>
      <c r="J90" s="1">
        <f t="shared" si="49"/>
        <v>0</v>
      </c>
      <c r="K90" s="1">
        <f t="shared" si="50"/>
        <v>0</v>
      </c>
      <c r="L90" s="1">
        <f t="shared" si="51"/>
        <v>0</v>
      </c>
      <c r="M90" s="1">
        <f t="shared" si="52"/>
        <v>0</v>
      </c>
      <c r="N90" s="1">
        <f t="shared" si="53"/>
        <v>0</v>
      </c>
      <c r="O90" s="1">
        <f t="shared" si="54"/>
        <v>0</v>
      </c>
      <c r="P90" s="1">
        <f t="shared" si="55"/>
        <v>0</v>
      </c>
      <c r="Q90" s="1">
        <f t="shared" si="56"/>
        <v>0</v>
      </c>
      <c r="R90" s="1">
        <f t="shared" si="57"/>
        <v>0</v>
      </c>
      <c r="S90" s="1">
        <f t="shared" si="58"/>
        <v>0</v>
      </c>
      <c r="T90" s="1">
        <f t="shared" si="59"/>
        <v>0</v>
      </c>
      <c r="U90" s="1">
        <f t="shared" si="60"/>
        <v>0</v>
      </c>
      <c r="V90" s="1">
        <f t="shared" si="61"/>
        <v>0</v>
      </c>
      <c r="W90" s="1">
        <f t="shared" si="62"/>
        <v>0</v>
      </c>
      <c r="X90" s="1">
        <f t="shared" si="63"/>
        <v>0</v>
      </c>
      <c r="Y90" s="1">
        <f t="shared" si="64"/>
        <v>0</v>
      </c>
      <c r="Z90" s="1">
        <f t="shared" si="65"/>
        <v>0</v>
      </c>
      <c r="AA90" s="1">
        <f t="shared" si="66"/>
        <v>0</v>
      </c>
      <c r="AB90" s="1">
        <f t="shared" si="67"/>
        <v>0</v>
      </c>
      <c r="AC90" s="1">
        <f t="shared" si="68"/>
        <v>0</v>
      </c>
      <c r="AD90" s="1">
        <f t="shared" si="69"/>
        <v>0</v>
      </c>
      <c r="AE90" s="1">
        <f t="shared" si="70"/>
        <v>0</v>
      </c>
      <c r="AF90" s="1">
        <f t="shared" si="71"/>
        <v>0</v>
      </c>
      <c r="AG90" s="1">
        <f t="shared" si="72"/>
        <v>0</v>
      </c>
      <c r="AH90" s="1">
        <f t="shared" si="73"/>
        <v>0</v>
      </c>
      <c r="AI90" s="1">
        <f t="shared" si="74"/>
        <v>0</v>
      </c>
      <c r="AJ90" s="1">
        <f t="shared" si="75"/>
        <v>0</v>
      </c>
      <c r="AK90" s="1">
        <f t="shared" si="76"/>
        <v>0</v>
      </c>
      <c r="AL90" s="1">
        <f t="shared" si="77"/>
        <v>0</v>
      </c>
      <c r="AM90" s="1">
        <f t="shared" si="78"/>
        <v>0</v>
      </c>
      <c r="AN90" s="1">
        <f t="shared" si="79"/>
        <v>0</v>
      </c>
      <c r="AO90" s="1">
        <f t="shared" si="80"/>
        <v>0</v>
      </c>
      <c r="AP90" s="1">
        <f t="shared" si="81"/>
        <v>0</v>
      </c>
      <c r="AQ90" s="1">
        <f t="shared" si="82"/>
        <v>0</v>
      </c>
      <c r="AR90" s="1">
        <f t="shared" si="83"/>
        <v>0</v>
      </c>
      <c r="AS90" s="1">
        <f t="shared" si="84"/>
        <v>0</v>
      </c>
      <c r="AT90" s="1">
        <f t="shared" si="85"/>
        <v>0</v>
      </c>
      <c r="AU90" s="1">
        <f t="shared" si="86"/>
        <v>0</v>
      </c>
      <c r="AV90" s="1">
        <f t="shared" si="87"/>
        <v>0</v>
      </c>
      <c r="AW90" s="1">
        <f t="shared" si="88"/>
        <v>0</v>
      </c>
      <c r="AX90" s="1">
        <f t="shared" si="89"/>
        <v>0</v>
      </c>
      <c r="AY90" s="1">
        <f t="shared" si="90"/>
        <v>0</v>
      </c>
      <c r="AZ90" s="1">
        <f t="shared" si="91"/>
        <v>0</v>
      </c>
      <c r="BA90" s="1">
        <f t="shared" si="92"/>
        <v>0</v>
      </c>
      <c r="BB90" s="1">
        <f t="shared" si="93"/>
        <v>0</v>
      </c>
      <c r="BC90" s="1">
        <f t="shared" si="94"/>
        <v>0</v>
      </c>
      <c r="BD90" s="1">
        <f t="shared" si="95"/>
        <v>0</v>
      </c>
      <c r="BE90" s="1">
        <f t="shared" si="96"/>
        <v>0</v>
      </c>
      <c r="BF90" s="1">
        <f t="shared" si="97"/>
        <v>0</v>
      </c>
      <c r="BG90" s="1">
        <f t="shared" si="98"/>
        <v>0</v>
      </c>
      <c r="BH90" s="1">
        <f t="shared" si="99"/>
        <v>0</v>
      </c>
      <c r="BI90" s="1">
        <f t="shared" si="100"/>
        <v>0</v>
      </c>
      <c r="BJ90" s="1">
        <f t="shared" si="101"/>
        <v>0</v>
      </c>
      <c r="BK90" s="1">
        <f t="shared" si="102"/>
        <v>0</v>
      </c>
      <c r="BL90" s="1">
        <f t="shared" si="103"/>
        <v>0</v>
      </c>
      <c r="BM90" s="1">
        <f t="shared" si="104"/>
        <v>0</v>
      </c>
      <c r="BN90" s="1">
        <f t="shared" si="105"/>
        <v>0</v>
      </c>
      <c r="BO90" s="1">
        <f t="shared" si="106"/>
        <v>-9</v>
      </c>
      <c r="BP90" s="1">
        <f t="shared" si="107"/>
        <v>0</v>
      </c>
      <c r="BQ90" s="1">
        <f t="shared" si="108"/>
        <v>0</v>
      </c>
      <c r="BR90" s="1">
        <f t="shared" si="109"/>
        <v>0</v>
      </c>
      <c r="BS90" s="1">
        <f t="shared" si="110"/>
        <v>0</v>
      </c>
      <c r="BT90" s="1">
        <f t="shared" si="111"/>
        <v>0</v>
      </c>
      <c r="BU90" s="1">
        <f t="shared" si="48"/>
        <v>0</v>
      </c>
      <c r="BV90" s="1">
        <f t="shared" si="44"/>
        <v>0</v>
      </c>
      <c r="BW90" s="1">
        <f t="shared" si="44"/>
        <v>0</v>
      </c>
      <c r="BX90" s="1">
        <f t="shared" si="44"/>
        <v>0</v>
      </c>
      <c r="BY90" s="1">
        <f t="shared" si="44"/>
        <v>0</v>
      </c>
      <c r="BZ90" s="1">
        <f t="shared" si="44"/>
        <v>0</v>
      </c>
      <c r="CA90" s="1">
        <f t="shared" si="44"/>
        <v>0</v>
      </c>
      <c r="CB90" s="1">
        <f t="shared" si="44"/>
        <v>0</v>
      </c>
      <c r="CC90" s="1">
        <f t="shared" si="44"/>
        <v>0</v>
      </c>
      <c r="CD90" s="1">
        <f t="shared" si="44"/>
        <v>0</v>
      </c>
      <c r="CE90" s="1"/>
      <c r="CH90" s="1" t="s">
        <v>23</v>
      </c>
      <c r="CI90" s="1">
        <v>0</v>
      </c>
      <c r="CJ90" s="1">
        <v>0</v>
      </c>
      <c r="CK90" s="1">
        <v>0</v>
      </c>
      <c r="CL90" s="1">
        <v>0</v>
      </c>
      <c r="CM90" s="1">
        <v>0</v>
      </c>
      <c r="CN90" s="1">
        <v>0</v>
      </c>
      <c r="CO90" s="1">
        <v>0</v>
      </c>
      <c r="CP90" s="1">
        <v>0</v>
      </c>
      <c r="CQ90" s="1">
        <v>0</v>
      </c>
      <c r="CR90" s="1">
        <v>0</v>
      </c>
      <c r="CS90" s="1">
        <v>0</v>
      </c>
      <c r="CT90" s="1">
        <v>0</v>
      </c>
      <c r="CU90" s="1">
        <v>0</v>
      </c>
      <c r="CV90" s="1">
        <v>0</v>
      </c>
      <c r="CW90" s="1">
        <v>0</v>
      </c>
      <c r="CX90" s="1">
        <v>0</v>
      </c>
      <c r="CY90" s="1">
        <v>0</v>
      </c>
      <c r="CZ90" s="1">
        <v>0</v>
      </c>
      <c r="DA90" s="1">
        <v>0</v>
      </c>
      <c r="DB90" s="1">
        <v>0</v>
      </c>
      <c r="DC90" s="1">
        <v>0</v>
      </c>
      <c r="DD90" s="1">
        <v>0</v>
      </c>
      <c r="DE90" s="1">
        <v>0</v>
      </c>
      <c r="DF90" s="1">
        <v>0</v>
      </c>
      <c r="DG90" s="1">
        <v>0</v>
      </c>
      <c r="DH90" s="1">
        <v>0</v>
      </c>
      <c r="DI90" s="1">
        <v>0</v>
      </c>
      <c r="DJ90" s="1">
        <v>0</v>
      </c>
      <c r="DK90" s="1">
        <v>0</v>
      </c>
      <c r="DL90" s="1">
        <v>0</v>
      </c>
      <c r="DM90" s="1">
        <v>0</v>
      </c>
      <c r="DN90" s="1">
        <v>0</v>
      </c>
      <c r="DO90" s="1">
        <v>0</v>
      </c>
      <c r="DP90" s="1">
        <v>0</v>
      </c>
      <c r="DQ90" s="1">
        <v>0</v>
      </c>
      <c r="DR90" s="1">
        <v>0</v>
      </c>
      <c r="DS90" s="1">
        <v>0</v>
      </c>
      <c r="DT90" s="1">
        <v>0</v>
      </c>
      <c r="DU90" s="1">
        <v>0</v>
      </c>
      <c r="DV90" s="1">
        <v>0</v>
      </c>
      <c r="DW90" s="1">
        <v>0</v>
      </c>
      <c r="DX90" s="1">
        <v>0</v>
      </c>
      <c r="DY90" s="1">
        <v>0</v>
      </c>
      <c r="DZ90" s="1">
        <v>0</v>
      </c>
      <c r="EA90" s="1">
        <v>0</v>
      </c>
      <c r="EB90" s="1">
        <v>0</v>
      </c>
      <c r="EC90" s="1">
        <v>0</v>
      </c>
      <c r="ED90" s="1">
        <v>0</v>
      </c>
      <c r="EE90" s="1">
        <v>0</v>
      </c>
      <c r="EF90" s="1">
        <v>0</v>
      </c>
      <c r="EG90" s="1">
        <v>0</v>
      </c>
      <c r="EH90" s="1">
        <v>0</v>
      </c>
      <c r="EI90" s="1">
        <v>0</v>
      </c>
      <c r="EJ90" s="1">
        <v>0</v>
      </c>
      <c r="EK90" s="1">
        <v>0</v>
      </c>
      <c r="EL90" s="1">
        <v>0</v>
      </c>
      <c r="EM90" s="1">
        <v>0</v>
      </c>
      <c r="EN90" s="1">
        <v>0</v>
      </c>
      <c r="EO90" s="1">
        <v>61</v>
      </c>
      <c r="EP90" s="1">
        <v>0</v>
      </c>
      <c r="EQ90" s="1">
        <v>0</v>
      </c>
      <c r="ER90" s="1">
        <v>0</v>
      </c>
      <c r="ES90" s="1">
        <v>0</v>
      </c>
      <c r="ET90" s="1">
        <v>0</v>
      </c>
      <c r="EU90" s="1">
        <v>0</v>
      </c>
      <c r="EV90" s="1">
        <v>0</v>
      </c>
      <c r="EW90" s="1">
        <v>0</v>
      </c>
      <c r="EX90" s="1">
        <v>0</v>
      </c>
      <c r="EY90" s="1">
        <v>0</v>
      </c>
      <c r="EZ90" s="1">
        <v>0</v>
      </c>
      <c r="FA90" s="1">
        <v>0</v>
      </c>
      <c r="FB90" s="1">
        <v>0</v>
      </c>
      <c r="FC90" s="1">
        <v>0</v>
      </c>
      <c r="FD90" s="1">
        <v>0</v>
      </c>
      <c r="FE90" s="1">
        <f t="shared" si="46"/>
        <v>61</v>
      </c>
      <c r="FF90" s="1">
        <f>CP157</f>
        <v>49</v>
      </c>
      <c r="FG90" s="1">
        <f t="shared" si="47"/>
        <v>0</v>
      </c>
    </row>
    <row r="91" spans="8:163" ht="15.75" thickBot="1" x14ac:dyDescent="0.3">
      <c r="H91" s="1" t="s">
        <v>24</v>
      </c>
      <c r="I91" s="1">
        <f t="shared" si="45"/>
        <v>0</v>
      </c>
      <c r="J91" s="1">
        <f t="shared" si="49"/>
        <v>0</v>
      </c>
      <c r="K91" s="1">
        <f t="shared" si="50"/>
        <v>0</v>
      </c>
      <c r="L91" s="1">
        <f t="shared" si="51"/>
        <v>0</v>
      </c>
      <c r="M91" s="1">
        <f t="shared" si="52"/>
        <v>0</v>
      </c>
      <c r="N91" s="1">
        <f t="shared" si="53"/>
        <v>0</v>
      </c>
      <c r="O91" s="1">
        <f t="shared" si="54"/>
        <v>0</v>
      </c>
      <c r="P91" s="1">
        <f t="shared" si="55"/>
        <v>0</v>
      </c>
      <c r="Q91" s="1">
        <f t="shared" si="56"/>
        <v>0</v>
      </c>
      <c r="R91" s="1">
        <f t="shared" si="57"/>
        <v>0</v>
      </c>
      <c r="S91" s="1">
        <f t="shared" si="58"/>
        <v>0</v>
      </c>
      <c r="T91" s="1">
        <f t="shared" si="59"/>
        <v>0</v>
      </c>
      <c r="U91" s="1">
        <f t="shared" si="60"/>
        <v>0</v>
      </c>
      <c r="V91" s="1">
        <f t="shared" si="61"/>
        <v>-22</v>
      </c>
      <c r="W91" s="1">
        <f t="shared" si="62"/>
        <v>0</v>
      </c>
      <c r="X91" s="1">
        <f t="shared" si="63"/>
        <v>0</v>
      </c>
      <c r="Y91" s="1">
        <f t="shared" si="64"/>
        <v>0</v>
      </c>
      <c r="Z91" s="1">
        <f t="shared" si="65"/>
        <v>0</v>
      </c>
      <c r="AA91" s="1">
        <f t="shared" si="66"/>
        <v>0</v>
      </c>
      <c r="AB91" s="1">
        <f t="shared" si="67"/>
        <v>0</v>
      </c>
      <c r="AC91" s="1">
        <f t="shared" si="68"/>
        <v>0</v>
      </c>
      <c r="AD91" s="1">
        <f t="shared" si="69"/>
        <v>0</v>
      </c>
      <c r="AE91" s="1">
        <f t="shared" si="70"/>
        <v>0</v>
      </c>
      <c r="AF91" s="1">
        <f t="shared" si="71"/>
        <v>0</v>
      </c>
      <c r="AG91" s="1">
        <f t="shared" si="72"/>
        <v>0</v>
      </c>
      <c r="AH91" s="1">
        <f t="shared" si="73"/>
        <v>0</v>
      </c>
      <c r="AI91" s="1">
        <f t="shared" si="74"/>
        <v>0</v>
      </c>
      <c r="AJ91" s="1">
        <f t="shared" si="75"/>
        <v>0</v>
      </c>
      <c r="AK91" s="1">
        <f t="shared" si="76"/>
        <v>0</v>
      </c>
      <c r="AL91" s="1">
        <f t="shared" si="77"/>
        <v>0</v>
      </c>
      <c r="AM91" s="1">
        <f t="shared" si="78"/>
        <v>0</v>
      </c>
      <c r="AN91" s="1">
        <f t="shared" si="79"/>
        <v>0</v>
      </c>
      <c r="AO91" s="1">
        <f t="shared" si="80"/>
        <v>0</v>
      </c>
      <c r="AP91" s="1">
        <f t="shared" si="81"/>
        <v>0</v>
      </c>
      <c r="AQ91" s="1">
        <f t="shared" si="82"/>
        <v>0</v>
      </c>
      <c r="AR91" s="1">
        <f t="shared" si="83"/>
        <v>0</v>
      </c>
      <c r="AS91" s="1">
        <f t="shared" si="84"/>
        <v>0</v>
      </c>
      <c r="AT91" s="1">
        <f t="shared" si="85"/>
        <v>0</v>
      </c>
      <c r="AU91" s="1">
        <f t="shared" si="86"/>
        <v>0</v>
      </c>
      <c r="AV91" s="1">
        <f t="shared" si="87"/>
        <v>0</v>
      </c>
      <c r="AW91" s="1">
        <f t="shared" si="88"/>
        <v>0</v>
      </c>
      <c r="AX91" s="1">
        <f t="shared" si="89"/>
        <v>0</v>
      </c>
      <c r="AY91" s="1">
        <f t="shared" si="90"/>
        <v>0</v>
      </c>
      <c r="AZ91" s="1">
        <f t="shared" si="91"/>
        <v>0</v>
      </c>
      <c r="BA91" s="1">
        <f t="shared" si="92"/>
        <v>0</v>
      </c>
      <c r="BB91" s="1">
        <f t="shared" si="93"/>
        <v>0</v>
      </c>
      <c r="BC91" s="1">
        <f t="shared" si="94"/>
        <v>0</v>
      </c>
      <c r="BD91" s="1">
        <f t="shared" si="95"/>
        <v>0</v>
      </c>
      <c r="BE91" s="1">
        <f t="shared" si="96"/>
        <v>0</v>
      </c>
      <c r="BF91" s="1">
        <f t="shared" si="97"/>
        <v>0</v>
      </c>
      <c r="BG91" s="1">
        <f t="shared" si="98"/>
        <v>0</v>
      </c>
      <c r="BH91" s="1">
        <f t="shared" si="99"/>
        <v>0</v>
      </c>
      <c r="BI91" s="1">
        <f t="shared" si="100"/>
        <v>0</v>
      </c>
      <c r="BJ91" s="1">
        <f t="shared" si="101"/>
        <v>0</v>
      </c>
      <c r="BK91" s="1">
        <f t="shared" si="102"/>
        <v>0</v>
      </c>
      <c r="BL91" s="1">
        <f t="shared" si="103"/>
        <v>0</v>
      </c>
      <c r="BM91" s="1">
        <f t="shared" si="104"/>
        <v>0</v>
      </c>
      <c r="BN91" s="1">
        <f t="shared" si="105"/>
        <v>0</v>
      </c>
      <c r="BO91" s="1">
        <f t="shared" si="106"/>
        <v>0</v>
      </c>
      <c r="BP91" s="1">
        <f t="shared" si="107"/>
        <v>0</v>
      </c>
      <c r="BQ91" s="1">
        <f t="shared" si="108"/>
        <v>0</v>
      </c>
      <c r="BR91" s="1">
        <f t="shared" si="109"/>
        <v>0</v>
      </c>
      <c r="BS91" s="1">
        <f t="shared" si="110"/>
        <v>0</v>
      </c>
      <c r="BT91" s="1">
        <f t="shared" si="111"/>
        <v>0</v>
      </c>
      <c r="BU91" s="1">
        <f t="shared" si="48"/>
        <v>0</v>
      </c>
      <c r="BV91" s="1">
        <f t="shared" si="44"/>
        <v>0</v>
      </c>
      <c r="BW91" s="1">
        <f t="shared" si="44"/>
        <v>0</v>
      </c>
      <c r="BX91" s="1">
        <f t="shared" si="44"/>
        <v>0</v>
      </c>
      <c r="BY91" s="1">
        <f t="shared" si="44"/>
        <v>0</v>
      </c>
      <c r="BZ91" s="1">
        <f t="shared" si="44"/>
        <v>0</v>
      </c>
      <c r="CA91" s="1">
        <f t="shared" si="44"/>
        <v>0</v>
      </c>
      <c r="CB91" s="1">
        <f t="shared" si="44"/>
        <v>0</v>
      </c>
      <c r="CC91" s="1">
        <f t="shared" si="44"/>
        <v>0</v>
      </c>
      <c r="CD91" s="1">
        <f t="shared" si="44"/>
        <v>0</v>
      </c>
      <c r="CE91" s="1"/>
      <c r="CH91" s="1" t="s">
        <v>24</v>
      </c>
      <c r="CI91" s="1">
        <v>0</v>
      </c>
      <c r="CJ91" s="1">
        <v>0</v>
      </c>
      <c r="CK91" s="1">
        <v>0</v>
      </c>
      <c r="CL91" s="1">
        <v>0</v>
      </c>
      <c r="CM91" s="1">
        <v>0</v>
      </c>
      <c r="CN91" s="1">
        <v>0</v>
      </c>
      <c r="CO91" s="1">
        <v>0</v>
      </c>
      <c r="CP91" s="1">
        <v>0</v>
      </c>
      <c r="CQ91" s="1">
        <v>0</v>
      </c>
      <c r="CR91" s="1">
        <v>0</v>
      </c>
      <c r="CS91" s="1">
        <v>0</v>
      </c>
      <c r="CT91" s="1">
        <v>0</v>
      </c>
      <c r="CU91" s="1">
        <v>0</v>
      </c>
      <c r="CV91" s="1">
        <v>48</v>
      </c>
      <c r="CW91" s="1">
        <v>0</v>
      </c>
      <c r="CX91" s="1">
        <v>0</v>
      </c>
      <c r="CY91" s="1">
        <v>0</v>
      </c>
      <c r="CZ91" s="1">
        <v>0</v>
      </c>
      <c r="DA91" s="1">
        <v>0</v>
      </c>
      <c r="DB91" s="1">
        <v>0</v>
      </c>
      <c r="DC91" s="1">
        <v>0</v>
      </c>
      <c r="DD91" s="1">
        <v>0</v>
      </c>
      <c r="DE91" s="1">
        <v>0</v>
      </c>
      <c r="DF91" s="1">
        <v>0</v>
      </c>
      <c r="DG91" s="1">
        <v>0</v>
      </c>
      <c r="DH91" s="1">
        <v>0</v>
      </c>
      <c r="DI91" s="1">
        <v>0</v>
      </c>
      <c r="DJ91" s="1">
        <v>0</v>
      </c>
      <c r="DK91" s="1">
        <v>0</v>
      </c>
      <c r="DL91" s="1">
        <v>0</v>
      </c>
      <c r="DM91" s="1">
        <v>0</v>
      </c>
      <c r="DN91" s="1">
        <v>0</v>
      </c>
      <c r="DO91" s="1">
        <v>0</v>
      </c>
      <c r="DP91" s="1">
        <v>0</v>
      </c>
      <c r="DQ91" s="1">
        <v>0</v>
      </c>
      <c r="DR91" s="1">
        <v>0</v>
      </c>
      <c r="DS91" s="1">
        <v>0</v>
      </c>
      <c r="DT91" s="1">
        <v>0</v>
      </c>
      <c r="DU91" s="1">
        <v>0</v>
      </c>
      <c r="DV91" s="1">
        <v>0</v>
      </c>
      <c r="DW91" s="1">
        <v>0</v>
      </c>
      <c r="DX91" s="1">
        <v>0</v>
      </c>
      <c r="DY91" s="1">
        <v>0</v>
      </c>
      <c r="DZ91" s="1">
        <v>0</v>
      </c>
      <c r="EA91" s="1">
        <v>0</v>
      </c>
      <c r="EB91" s="1">
        <v>0</v>
      </c>
      <c r="EC91" s="1">
        <v>0</v>
      </c>
      <c r="ED91" s="1">
        <v>0</v>
      </c>
      <c r="EE91" s="1">
        <v>0</v>
      </c>
      <c r="EF91" s="1">
        <v>0</v>
      </c>
      <c r="EG91" s="1">
        <v>0</v>
      </c>
      <c r="EH91" s="1">
        <v>0</v>
      </c>
      <c r="EI91" s="1">
        <v>0</v>
      </c>
      <c r="EJ91" s="1">
        <v>0</v>
      </c>
      <c r="EK91" s="1">
        <v>0</v>
      </c>
      <c r="EL91" s="1">
        <v>0</v>
      </c>
      <c r="EM91" s="1">
        <v>0</v>
      </c>
      <c r="EN91" s="1">
        <v>0</v>
      </c>
      <c r="EO91" s="1">
        <v>0</v>
      </c>
      <c r="EP91" s="1">
        <v>0</v>
      </c>
      <c r="EQ91" s="1">
        <v>0</v>
      </c>
      <c r="ER91" s="1">
        <v>0</v>
      </c>
      <c r="ES91" s="1">
        <v>0</v>
      </c>
      <c r="ET91" s="1">
        <v>0</v>
      </c>
      <c r="EU91" s="1">
        <v>0</v>
      </c>
      <c r="EV91" s="1">
        <v>0</v>
      </c>
      <c r="EW91" s="1">
        <v>0</v>
      </c>
      <c r="EX91" s="1">
        <v>0</v>
      </c>
      <c r="EY91" s="1">
        <v>0</v>
      </c>
      <c r="EZ91" s="1">
        <v>0</v>
      </c>
      <c r="FA91" s="1">
        <v>0</v>
      </c>
      <c r="FB91" s="1">
        <v>0</v>
      </c>
      <c r="FC91" s="1">
        <v>0</v>
      </c>
      <c r="FD91" s="1">
        <v>0</v>
      </c>
      <c r="FE91" s="1">
        <f t="shared" si="46"/>
        <v>48</v>
      </c>
      <c r="FF91" s="1">
        <f>CQ157</f>
        <v>40</v>
      </c>
      <c r="FG91" s="1">
        <f t="shared" si="47"/>
        <v>0</v>
      </c>
    </row>
    <row r="92" spans="8:163" ht="15.75" thickBot="1" x14ac:dyDescent="0.3">
      <c r="H92" s="1" t="s">
        <v>25</v>
      </c>
      <c r="I92" s="1">
        <f t="shared" si="45"/>
        <v>0</v>
      </c>
      <c r="J92" s="1">
        <f t="shared" si="49"/>
        <v>0</v>
      </c>
      <c r="K92" s="1">
        <f t="shared" si="50"/>
        <v>0</v>
      </c>
      <c r="L92" s="1">
        <f t="shared" si="51"/>
        <v>0</v>
      </c>
      <c r="M92" s="1">
        <f t="shared" si="52"/>
        <v>0</v>
      </c>
      <c r="N92" s="1">
        <f t="shared" si="53"/>
        <v>0</v>
      </c>
      <c r="O92" s="1">
        <f t="shared" si="54"/>
        <v>0</v>
      </c>
      <c r="P92" s="1">
        <f t="shared" si="55"/>
        <v>0</v>
      </c>
      <c r="Q92" s="1">
        <f t="shared" si="56"/>
        <v>0</v>
      </c>
      <c r="R92" s="1">
        <f t="shared" si="57"/>
        <v>0</v>
      </c>
      <c r="S92" s="1">
        <f t="shared" si="58"/>
        <v>0</v>
      </c>
      <c r="T92" s="1">
        <f t="shared" si="59"/>
        <v>-25</v>
      </c>
      <c r="U92" s="1">
        <f t="shared" si="60"/>
        <v>0</v>
      </c>
      <c r="V92" s="1">
        <f t="shared" si="61"/>
        <v>0</v>
      </c>
      <c r="W92" s="1">
        <f t="shared" si="62"/>
        <v>0</v>
      </c>
      <c r="X92" s="1">
        <f t="shared" si="63"/>
        <v>0</v>
      </c>
      <c r="Y92" s="1">
        <f t="shared" si="64"/>
        <v>0</v>
      </c>
      <c r="Z92" s="1">
        <f t="shared" si="65"/>
        <v>0</v>
      </c>
      <c r="AA92" s="1">
        <f t="shared" si="66"/>
        <v>0</v>
      </c>
      <c r="AB92" s="1">
        <f t="shared" si="67"/>
        <v>0</v>
      </c>
      <c r="AC92" s="1">
        <f t="shared" si="68"/>
        <v>0</v>
      </c>
      <c r="AD92" s="1">
        <f t="shared" si="69"/>
        <v>0</v>
      </c>
      <c r="AE92" s="1">
        <f t="shared" si="70"/>
        <v>0</v>
      </c>
      <c r="AF92" s="1">
        <f t="shared" si="71"/>
        <v>0</v>
      </c>
      <c r="AG92" s="1">
        <f t="shared" si="72"/>
        <v>0</v>
      </c>
      <c r="AH92" s="1">
        <f t="shared" si="73"/>
        <v>0</v>
      </c>
      <c r="AI92" s="1">
        <f t="shared" si="74"/>
        <v>0</v>
      </c>
      <c r="AJ92" s="1">
        <f t="shared" si="75"/>
        <v>0</v>
      </c>
      <c r="AK92" s="1">
        <f t="shared" si="76"/>
        <v>0</v>
      </c>
      <c r="AL92" s="1">
        <f t="shared" si="77"/>
        <v>0</v>
      </c>
      <c r="AM92" s="1">
        <f t="shared" si="78"/>
        <v>0</v>
      </c>
      <c r="AN92" s="1">
        <f t="shared" si="79"/>
        <v>0</v>
      </c>
      <c r="AO92" s="1">
        <f t="shared" si="80"/>
        <v>0</v>
      </c>
      <c r="AP92" s="1">
        <f t="shared" si="81"/>
        <v>0</v>
      </c>
      <c r="AQ92" s="1">
        <f t="shared" si="82"/>
        <v>0</v>
      </c>
      <c r="AR92" s="1">
        <f t="shared" si="83"/>
        <v>0</v>
      </c>
      <c r="AS92" s="1">
        <f t="shared" si="84"/>
        <v>0</v>
      </c>
      <c r="AT92" s="1">
        <f t="shared" si="85"/>
        <v>0</v>
      </c>
      <c r="AU92" s="1">
        <f t="shared" si="86"/>
        <v>0</v>
      </c>
      <c r="AV92" s="1">
        <f t="shared" si="87"/>
        <v>0</v>
      </c>
      <c r="AW92" s="1">
        <f t="shared" si="88"/>
        <v>0</v>
      </c>
      <c r="AX92" s="1">
        <f t="shared" si="89"/>
        <v>0</v>
      </c>
      <c r="AY92" s="1">
        <f t="shared" si="90"/>
        <v>0</v>
      </c>
      <c r="AZ92" s="1">
        <f t="shared" si="91"/>
        <v>0</v>
      </c>
      <c r="BA92" s="1">
        <f t="shared" si="92"/>
        <v>0</v>
      </c>
      <c r="BB92" s="1">
        <f t="shared" si="93"/>
        <v>0</v>
      </c>
      <c r="BC92" s="1">
        <f t="shared" si="94"/>
        <v>0</v>
      </c>
      <c r="BD92" s="1">
        <f t="shared" si="95"/>
        <v>0</v>
      </c>
      <c r="BE92" s="1">
        <f t="shared" si="96"/>
        <v>0</v>
      </c>
      <c r="BF92" s="1">
        <f t="shared" si="97"/>
        <v>0</v>
      </c>
      <c r="BG92" s="1">
        <f t="shared" si="98"/>
        <v>0</v>
      </c>
      <c r="BH92" s="1">
        <f t="shared" si="99"/>
        <v>0</v>
      </c>
      <c r="BI92" s="1">
        <f t="shared" si="100"/>
        <v>0</v>
      </c>
      <c r="BJ92" s="1">
        <f t="shared" si="101"/>
        <v>0</v>
      </c>
      <c r="BK92" s="1">
        <f t="shared" si="102"/>
        <v>0</v>
      </c>
      <c r="BL92" s="1">
        <f t="shared" si="103"/>
        <v>0</v>
      </c>
      <c r="BM92" s="1">
        <f t="shared" si="104"/>
        <v>0</v>
      </c>
      <c r="BN92" s="1">
        <f t="shared" si="105"/>
        <v>0</v>
      </c>
      <c r="BO92" s="1">
        <f t="shared" si="106"/>
        <v>0</v>
      </c>
      <c r="BP92" s="1">
        <f t="shared" si="107"/>
        <v>0</v>
      </c>
      <c r="BQ92" s="1">
        <f t="shared" si="108"/>
        <v>0</v>
      </c>
      <c r="BR92" s="1">
        <f t="shared" si="109"/>
        <v>0</v>
      </c>
      <c r="BS92" s="1">
        <f t="shared" si="110"/>
        <v>0</v>
      </c>
      <c r="BT92" s="1">
        <f t="shared" si="111"/>
        <v>0</v>
      </c>
      <c r="BU92" s="1">
        <f t="shared" si="48"/>
        <v>0</v>
      </c>
      <c r="BV92" s="1">
        <f t="shared" si="44"/>
        <v>0</v>
      </c>
      <c r="BW92" s="1">
        <f t="shared" si="44"/>
        <v>0</v>
      </c>
      <c r="BX92" s="1">
        <f t="shared" si="44"/>
        <v>0</v>
      </c>
      <c r="BY92" s="1">
        <f t="shared" si="44"/>
        <v>0</v>
      </c>
      <c r="BZ92" s="1">
        <f t="shared" si="44"/>
        <v>0</v>
      </c>
      <c r="CA92" s="1">
        <f t="shared" si="44"/>
        <v>0</v>
      </c>
      <c r="CB92" s="1">
        <f t="shared" si="44"/>
        <v>0</v>
      </c>
      <c r="CC92" s="1">
        <f t="shared" si="44"/>
        <v>0</v>
      </c>
      <c r="CD92" s="1">
        <f t="shared" si="44"/>
        <v>0</v>
      </c>
      <c r="CE92" s="1"/>
      <c r="CH92" s="1" t="s">
        <v>25</v>
      </c>
      <c r="CI92" s="1">
        <v>0</v>
      </c>
      <c r="CJ92" s="1">
        <v>0</v>
      </c>
      <c r="CK92" s="1">
        <v>0</v>
      </c>
      <c r="CL92" s="1">
        <v>0</v>
      </c>
      <c r="CM92" s="1">
        <v>0</v>
      </c>
      <c r="CN92" s="1">
        <v>0</v>
      </c>
      <c r="CO92" s="1">
        <v>0</v>
      </c>
      <c r="CP92" s="1">
        <v>0</v>
      </c>
      <c r="CQ92" s="1">
        <v>0</v>
      </c>
      <c r="CR92" s="1">
        <v>0</v>
      </c>
      <c r="CS92" s="1">
        <v>0</v>
      </c>
      <c r="CT92" s="1">
        <v>45</v>
      </c>
      <c r="CU92" s="1">
        <v>0</v>
      </c>
      <c r="CV92" s="1">
        <v>0</v>
      </c>
      <c r="CW92" s="1">
        <v>0</v>
      </c>
      <c r="CX92" s="1">
        <v>0</v>
      </c>
      <c r="CY92" s="1">
        <v>0</v>
      </c>
      <c r="CZ92" s="1">
        <v>0</v>
      </c>
      <c r="DA92" s="1">
        <v>0</v>
      </c>
      <c r="DB92" s="1">
        <v>0</v>
      </c>
      <c r="DC92" s="1">
        <v>0</v>
      </c>
      <c r="DD92" s="1">
        <v>0</v>
      </c>
      <c r="DE92" s="1">
        <v>0</v>
      </c>
      <c r="DF92" s="1">
        <v>0</v>
      </c>
      <c r="DG92" s="1">
        <v>0</v>
      </c>
      <c r="DH92" s="1">
        <v>0</v>
      </c>
      <c r="DI92" s="1">
        <v>0</v>
      </c>
      <c r="DJ92" s="1">
        <v>0</v>
      </c>
      <c r="DK92" s="1">
        <v>0</v>
      </c>
      <c r="DL92" s="1">
        <v>0</v>
      </c>
      <c r="DM92" s="1">
        <v>0</v>
      </c>
      <c r="DN92" s="1">
        <v>0</v>
      </c>
      <c r="DO92" s="1">
        <v>0</v>
      </c>
      <c r="DP92" s="1">
        <v>0</v>
      </c>
      <c r="DQ92" s="1">
        <v>0</v>
      </c>
      <c r="DR92" s="1">
        <v>0</v>
      </c>
      <c r="DS92" s="1">
        <v>0</v>
      </c>
      <c r="DT92" s="1">
        <v>0</v>
      </c>
      <c r="DU92" s="1">
        <v>0</v>
      </c>
      <c r="DV92" s="1">
        <v>0</v>
      </c>
      <c r="DW92" s="1">
        <v>0</v>
      </c>
      <c r="DX92" s="1">
        <v>0</v>
      </c>
      <c r="DY92" s="1">
        <v>0</v>
      </c>
      <c r="DZ92" s="1">
        <v>0</v>
      </c>
      <c r="EA92" s="1">
        <v>0</v>
      </c>
      <c r="EB92" s="1">
        <v>0</v>
      </c>
      <c r="EC92" s="1">
        <v>0</v>
      </c>
      <c r="ED92" s="1">
        <v>0</v>
      </c>
      <c r="EE92" s="1">
        <v>0</v>
      </c>
      <c r="EF92" s="1">
        <v>0</v>
      </c>
      <c r="EG92" s="1">
        <v>0</v>
      </c>
      <c r="EH92" s="1">
        <v>0</v>
      </c>
      <c r="EI92" s="1">
        <v>0</v>
      </c>
      <c r="EJ92" s="1">
        <v>0</v>
      </c>
      <c r="EK92" s="1">
        <v>0</v>
      </c>
      <c r="EL92" s="1">
        <v>0</v>
      </c>
      <c r="EM92" s="1">
        <v>0</v>
      </c>
      <c r="EN92" s="1">
        <v>0</v>
      </c>
      <c r="EO92" s="1">
        <v>0</v>
      </c>
      <c r="EP92" s="1">
        <v>0</v>
      </c>
      <c r="EQ92" s="1">
        <v>0</v>
      </c>
      <c r="ER92" s="1">
        <v>0</v>
      </c>
      <c r="ES92" s="1">
        <v>0</v>
      </c>
      <c r="ET92" s="1">
        <v>0</v>
      </c>
      <c r="EU92" s="1">
        <v>0</v>
      </c>
      <c r="EV92" s="1">
        <v>0</v>
      </c>
      <c r="EW92" s="1">
        <v>0</v>
      </c>
      <c r="EX92" s="1">
        <v>0</v>
      </c>
      <c r="EY92" s="1">
        <v>0</v>
      </c>
      <c r="EZ92" s="1">
        <v>0</v>
      </c>
      <c r="FA92" s="1">
        <v>0</v>
      </c>
      <c r="FB92" s="1">
        <v>0</v>
      </c>
      <c r="FC92" s="1">
        <v>0</v>
      </c>
      <c r="FD92" s="1">
        <v>0</v>
      </c>
      <c r="FE92" s="1">
        <f t="shared" si="46"/>
        <v>45</v>
      </c>
      <c r="FF92" s="1">
        <f>CR157</f>
        <v>41</v>
      </c>
      <c r="FG92" s="1">
        <f t="shared" si="47"/>
        <v>0</v>
      </c>
    </row>
    <row r="93" spans="8:163" ht="15.75" thickBot="1" x14ac:dyDescent="0.3">
      <c r="H93" s="1" t="s">
        <v>26</v>
      </c>
      <c r="I93" s="1">
        <f t="shared" si="45"/>
        <v>-3</v>
      </c>
      <c r="J93" s="1">
        <f t="shared" si="49"/>
        <v>0</v>
      </c>
      <c r="K93" s="1">
        <f t="shared" si="50"/>
        <v>0</v>
      </c>
      <c r="L93" s="1">
        <f t="shared" si="51"/>
        <v>0</v>
      </c>
      <c r="M93" s="1">
        <f t="shared" si="52"/>
        <v>0</v>
      </c>
      <c r="N93" s="1">
        <f t="shared" si="53"/>
        <v>0</v>
      </c>
      <c r="O93" s="1">
        <f t="shared" si="54"/>
        <v>0</v>
      </c>
      <c r="P93" s="1">
        <f t="shared" si="55"/>
        <v>0</v>
      </c>
      <c r="Q93" s="1">
        <f t="shared" si="56"/>
        <v>0</v>
      </c>
      <c r="R93" s="1">
        <f t="shared" si="57"/>
        <v>0</v>
      </c>
      <c r="S93" s="1">
        <f t="shared" si="58"/>
        <v>0</v>
      </c>
      <c r="T93" s="1">
        <f t="shared" si="59"/>
        <v>0</v>
      </c>
      <c r="U93" s="1">
        <f t="shared" si="60"/>
        <v>0</v>
      </c>
      <c r="V93" s="1">
        <f t="shared" si="61"/>
        <v>0</v>
      </c>
      <c r="W93" s="1">
        <f t="shared" si="62"/>
        <v>0</v>
      </c>
      <c r="X93" s="1">
        <f t="shared" si="63"/>
        <v>0</v>
      </c>
      <c r="Y93" s="1">
        <f t="shared" si="64"/>
        <v>0</v>
      </c>
      <c r="Z93" s="1">
        <f t="shared" si="65"/>
        <v>0</v>
      </c>
      <c r="AA93" s="1">
        <f t="shared" si="66"/>
        <v>0</v>
      </c>
      <c r="AB93" s="1">
        <f t="shared" si="67"/>
        <v>0</v>
      </c>
      <c r="AC93" s="1">
        <f t="shared" si="68"/>
        <v>0</v>
      </c>
      <c r="AD93" s="1">
        <f t="shared" si="69"/>
        <v>0</v>
      </c>
      <c r="AE93" s="1">
        <f t="shared" si="70"/>
        <v>0</v>
      </c>
      <c r="AF93" s="1">
        <f t="shared" si="71"/>
        <v>0</v>
      </c>
      <c r="AG93" s="1">
        <f t="shared" si="72"/>
        <v>0</v>
      </c>
      <c r="AH93" s="1">
        <f t="shared" si="73"/>
        <v>0</v>
      </c>
      <c r="AI93" s="1">
        <f t="shared" si="74"/>
        <v>0</v>
      </c>
      <c r="AJ93" s="1">
        <f t="shared" si="75"/>
        <v>0</v>
      </c>
      <c r="AK93" s="1">
        <f t="shared" si="76"/>
        <v>0</v>
      </c>
      <c r="AL93" s="1">
        <f t="shared" si="77"/>
        <v>0</v>
      </c>
      <c r="AM93" s="1">
        <f t="shared" si="78"/>
        <v>0</v>
      </c>
      <c r="AN93" s="1">
        <f t="shared" si="79"/>
        <v>0</v>
      </c>
      <c r="AO93" s="1">
        <f t="shared" si="80"/>
        <v>0</v>
      </c>
      <c r="AP93" s="1">
        <f t="shared" si="81"/>
        <v>0</v>
      </c>
      <c r="AQ93" s="1">
        <f t="shared" si="82"/>
        <v>0</v>
      </c>
      <c r="AR93" s="1">
        <f t="shared" si="83"/>
        <v>0</v>
      </c>
      <c r="AS93" s="1">
        <f t="shared" si="84"/>
        <v>0</v>
      </c>
      <c r="AT93" s="1">
        <f t="shared" si="85"/>
        <v>0</v>
      </c>
      <c r="AU93" s="1">
        <f t="shared" si="86"/>
        <v>0</v>
      </c>
      <c r="AV93" s="1">
        <f t="shared" si="87"/>
        <v>0</v>
      </c>
      <c r="AW93" s="1">
        <f t="shared" si="88"/>
        <v>0</v>
      </c>
      <c r="AX93" s="1">
        <f t="shared" si="89"/>
        <v>0</v>
      </c>
      <c r="AY93" s="1">
        <f t="shared" si="90"/>
        <v>0</v>
      </c>
      <c r="AZ93" s="1">
        <f t="shared" si="91"/>
        <v>0</v>
      </c>
      <c r="BA93" s="1">
        <f t="shared" si="92"/>
        <v>0</v>
      </c>
      <c r="BB93" s="1">
        <f t="shared" si="93"/>
        <v>0</v>
      </c>
      <c r="BC93" s="1">
        <f t="shared" si="94"/>
        <v>0</v>
      </c>
      <c r="BD93" s="1">
        <f t="shared" si="95"/>
        <v>0</v>
      </c>
      <c r="BE93" s="1">
        <f t="shared" si="96"/>
        <v>0</v>
      </c>
      <c r="BF93" s="1">
        <f t="shared" si="97"/>
        <v>0</v>
      </c>
      <c r="BG93" s="1">
        <f t="shared" si="98"/>
        <v>0</v>
      </c>
      <c r="BH93" s="1">
        <f t="shared" si="99"/>
        <v>0</v>
      </c>
      <c r="BI93" s="1">
        <f t="shared" si="100"/>
        <v>0</v>
      </c>
      <c r="BJ93" s="1">
        <f t="shared" si="101"/>
        <v>0</v>
      </c>
      <c r="BK93" s="1">
        <f t="shared" si="102"/>
        <v>0</v>
      </c>
      <c r="BL93" s="1">
        <f t="shared" si="103"/>
        <v>0</v>
      </c>
      <c r="BM93" s="1">
        <f t="shared" si="104"/>
        <v>0</v>
      </c>
      <c r="BN93" s="1">
        <f t="shared" si="105"/>
        <v>0</v>
      </c>
      <c r="BO93" s="1">
        <f t="shared" si="106"/>
        <v>0</v>
      </c>
      <c r="BP93" s="1">
        <f t="shared" si="107"/>
        <v>0</v>
      </c>
      <c r="BQ93" s="1">
        <f t="shared" si="108"/>
        <v>0</v>
      </c>
      <c r="BR93" s="1">
        <f t="shared" si="109"/>
        <v>0</v>
      </c>
      <c r="BS93" s="1">
        <f t="shared" si="110"/>
        <v>0</v>
      </c>
      <c r="BT93" s="1">
        <f t="shared" si="111"/>
        <v>0</v>
      </c>
      <c r="BU93" s="1">
        <f t="shared" si="48"/>
        <v>0</v>
      </c>
      <c r="BV93" s="1">
        <f t="shared" si="44"/>
        <v>0</v>
      </c>
      <c r="BW93" s="1">
        <f t="shared" si="44"/>
        <v>0</v>
      </c>
      <c r="BX93" s="1">
        <f t="shared" si="44"/>
        <v>0</v>
      </c>
      <c r="BY93" s="1">
        <f t="shared" si="44"/>
        <v>0</v>
      </c>
      <c r="BZ93" s="1">
        <f t="shared" si="44"/>
        <v>0</v>
      </c>
      <c r="CA93" s="1">
        <f t="shared" si="44"/>
        <v>0</v>
      </c>
      <c r="CB93" s="1">
        <f t="shared" si="44"/>
        <v>0</v>
      </c>
      <c r="CC93" s="1">
        <f t="shared" si="44"/>
        <v>0</v>
      </c>
      <c r="CD93" s="1">
        <f t="shared" si="44"/>
        <v>0</v>
      </c>
      <c r="CE93" s="1"/>
      <c r="CH93" s="1" t="s">
        <v>26</v>
      </c>
      <c r="CI93" s="1">
        <v>67</v>
      </c>
      <c r="CJ93" s="1">
        <v>0</v>
      </c>
      <c r="CK93" s="1">
        <v>0</v>
      </c>
      <c r="CL93" s="1">
        <v>0</v>
      </c>
      <c r="CM93" s="1">
        <v>0</v>
      </c>
      <c r="CN93" s="1">
        <v>0</v>
      </c>
      <c r="CO93" s="1">
        <v>0</v>
      </c>
      <c r="CP93" s="1">
        <v>0</v>
      </c>
      <c r="CQ93" s="1">
        <v>0</v>
      </c>
      <c r="CR93" s="1">
        <v>0</v>
      </c>
      <c r="CS93" s="1">
        <v>0</v>
      </c>
      <c r="CT93" s="1">
        <v>0</v>
      </c>
      <c r="CU93" s="1">
        <v>0</v>
      </c>
      <c r="CV93" s="1">
        <v>0</v>
      </c>
      <c r="CW93" s="1">
        <v>0</v>
      </c>
      <c r="CX93" s="1">
        <v>0</v>
      </c>
      <c r="CY93" s="1">
        <v>0</v>
      </c>
      <c r="CZ93" s="1">
        <v>0</v>
      </c>
      <c r="DA93" s="1">
        <v>0</v>
      </c>
      <c r="DB93" s="1">
        <v>0</v>
      </c>
      <c r="DC93" s="1">
        <v>0</v>
      </c>
      <c r="DD93" s="1">
        <v>0</v>
      </c>
      <c r="DE93" s="1">
        <v>0</v>
      </c>
      <c r="DF93" s="1">
        <v>0</v>
      </c>
      <c r="DG93" s="1">
        <v>0</v>
      </c>
      <c r="DH93" s="1">
        <v>0</v>
      </c>
      <c r="DI93" s="1">
        <v>0</v>
      </c>
      <c r="DJ93" s="1">
        <v>0</v>
      </c>
      <c r="DK93" s="1">
        <v>0</v>
      </c>
      <c r="DL93" s="1">
        <v>0</v>
      </c>
      <c r="DM93" s="1">
        <v>0</v>
      </c>
      <c r="DN93" s="1">
        <v>0</v>
      </c>
      <c r="DO93" s="1">
        <v>0</v>
      </c>
      <c r="DP93" s="1">
        <v>0</v>
      </c>
      <c r="DQ93" s="1">
        <v>0</v>
      </c>
      <c r="DR93" s="1">
        <v>0</v>
      </c>
      <c r="DS93" s="1">
        <v>0</v>
      </c>
      <c r="DT93" s="1">
        <v>0</v>
      </c>
      <c r="DU93" s="1">
        <v>0</v>
      </c>
      <c r="DV93" s="1">
        <v>0</v>
      </c>
      <c r="DW93" s="1">
        <v>0</v>
      </c>
      <c r="DX93" s="1">
        <v>0</v>
      </c>
      <c r="DY93" s="1">
        <v>0</v>
      </c>
      <c r="DZ93" s="1">
        <v>0</v>
      </c>
      <c r="EA93" s="1">
        <v>0</v>
      </c>
      <c r="EB93" s="1">
        <v>0</v>
      </c>
      <c r="EC93" s="1">
        <v>0</v>
      </c>
      <c r="ED93" s="1">
        <v>0</v>
      </c>
      <c r="EE93" s="1">
        <v>0</v>
      </c>
      <c r="EF93" s="1">
        <v>0</v>
      </c>
      <c r="EG93" s="1">
        <v>0</v>
      </c>
      <c r="EH93" s="1">
        <v>0</v>
      </c>
      <c r="EI93" s="1">
        <v>0</v>
      </c>
      <c r="EJ93" s="1">
        <v>0</v>
      </c>
      <c r="EK93" s="1">
        <v>0</v>
      </c>
      <c r="EL93" s="1">
        <v>0</v>
      </c>
      <c r="EM93" s="1">
        <v>0</v>
      </c>
      <c r="EN93" s="1">
        <v>0</v>
      </c>
      <c r="EO93" s="1">
        <v>0</v>
      </c>
      <c r="EP93" s="1">
        <v>0</v>
      </c>
      <c r="EQ93" s="1">
        <v>0</v>
      </c>
      <c r="ER93" s="1">
        <v>0</v>
      </c>
      <c r="ES93" s="1">
        <v>0</v>
      </c>
      <c r="ET93" s="1">
        <v>0</v>
      </c>
      <c r="EU93" s="1">
        <v>0</v>
      </c>
      <c r="EV93" s="1">
        <v>0</v>
      </c>
      <c r="EW93" s="1">
        <v>0</v>
      </c>
      <c r="EX93" s="1">
        <v>0</v>
      </c>
      <c r="EY93" s="1">
        <v>0</v>
      </c>
      <c r="EZ93" s="1">
        <v>0</v>
      </c>
      <c r="FA93" s="1">
        <v>0</v>
      </c>
      <c r="FB93" s="1">
        <v>0</v>
      </c>
      <c r="FC93" s="1">
        <v>0</v>
      </c>
      <c r="FD93" s="1">
        <v>0</v>
      </c>
      <c r="FE93" s="1">
        <f t="shared" si="46"/>
        <v>67</v>
      </c>
      <c r="FF93" s="1">
        <f>CS157</f>
        <v>67</v>
      </c>
      <c r="FG93" s="1">
        <f t="shared" si="47"/>
        <v>0</v>
      </c>
    </row>
    <row r="94" spans="8:163" ht="15.75" thickBot="1" x14ac:dyDescent="0.3">
      <c r="H94" s="1" t="s">
        <v>27</v>
      </c>
      <c r="I94" s="1">
        <f t="shared" si="45"/>
        <v>0</v>
      </c>
      <c r="J94" s="1">
        <f t="shared" si="49"/>
        <v>0</v>
      </c>
      <c r="K94" s="1">
        <f t="shared" si="50"/>
        <v>0</v>
      </c>
      <c r="L94" s="1">
        <f t="shared" si="51"/>
        <v>0</v>
      </c>
      <c r="M94" s="1">
        <f t="shared" si="52"/>
        <v>0</v>
      </c>
      <c r="N94" s="1">
        <f t="shared" si="53"/>
        <v>0</v>
      </c>
      <c r="O94" s="1">
        <f t="shared" si="54"/>
        <v>0</v>
      </c>
      <c r="P94" s="1">
        <f t="shared" si="55"/>
        <v>-21</v>
      </c>
      <c r="Q94" s="1">
        <f t="shared" si="56"/>
        <v>0</v>
      </c>
      <c r="R94" s="1">
        <f t="shared" si="57"/>
        <v>0</v>
      </c>
      <c r="S94" s="1">
        <f t="shared" si="58"/>
        <v>0</v>
      </c>
      <c r="T94" s="1">
        <f t="shared" si="59"/>
        <v>0</v>
      </c>
      <c r="U94" s="1">
        <f t="shared" si="60"/>
        <v>0</v>
      </c>
      <c r="V94" s="1">
        <f t="shared" si="61"/>
        <v>0</v>
      </c>
      <c r="W94" s="1">
        <f t="shared" si="62"/>
        <v>0</v>
      </c>
      <c r="X94" s="1">
        <f t="shared" si="63"/>
        <v>0</v>
      </c>
      <c r="Y94" s="1">
        <f t="shared" si="64"/>
        <v>0</v>
      </c>
      <c r="Z94" s="1">
        <f t="shared" si="65"/>
        <v>0</v>
      </c>
      <c r="AA94" s="1">
        <f t="shared" si="66"/>
        <v>0</v>
      </c>
      <c r="AB94" s="1">
        <f t="shared" si="67"/>
        <v>0</v>
      </c>
      <c r="AC94" s="1">
        <f t="shared" si="68"/>
        <v>0</v>
      </c>
      <c r="AD94" s="1">
        <f t="shared" si="69"/>
        <v>0</v>
      </c>
      <c r="AE94" s="1">
        <f t="shared" si="70"/>
        <v>0</v>
      </c>
      <c r="AF94" s="1">
        <f t="shared" si="71"/>
        <v>0</v>
      </c>
      <c r="AG94" s="1">
        <f t="shared" si="72"/>
        <v>0</v>
      </c>
      <c r="AH94" s="1">
        <f t="shared" si="73"/>
        <v>0</v>
      </c>
      <c r="AI94" s="1">
        <f t="shared" si="74"/>
        <v>0</v>
      </c>
      <c r="AJ94" s="1">
        <f t="shared" si="75"/>
        <v>0</v>
      </c>
      <c r="AK94" s="1">
        <f t="shared" si="76"/>
        <v>0</v>
      </c>
      <c r="AL94" s="1">
        <f t="shared" si="77"/>
        <v>0</v>
      </c>
      <c r="AM94" s="1">
        <f t="shared" si="78"/>
        <v>0</v>
      </c>
      <c r="AN94" s="1">
        <f t="shared" si="79"/>
        <v>0</v>
      </c>
      <c r="AO94" s="1">
        <f t="shared" si="80"/>
        <v>0</v>
      </c>
      <c r="AP94" s="1">
        <f t="shared" si="81"/>
        <v>0</v>
      </c>
      <c r="AQ94" s="1">
        <f t="shared" si="82"/>
        <v>0</v>
      </c>
      <c r="AR94" s="1">
        <f t="shared" si="83"/>
        <v>0</v>
      </c>
      <c r="AS94" s="1">
        <f t="shared" si="84"/>
        <v>0</v>
      </c>
      <c r="AT94" s="1">
        <f t="shared" si="85"/>
        <v>0</v>
      </c>
      <c r="AU94" s="1">
        <f t="shared" si="86"/>
        <v>0</v>
      </c>
      <c r="AV94" s="1">
        <f t="shared" si="87"/>
        <v>0</v>
      </c>
      <c r="AW94" s="1">
        <f t="shared" si="88"/>
        <v>0</v>
      </c>
      <c r="AX94" s="1">
        <f t="shared" si="89"/>
        <v>0</v>
      </c>
      <c r="AY94" s="1">
        <f t="shared" si="90"/>
        <v>0</v>
      </c>
      <c r="AZ94" s="1">
        <f t="shared" si="91"/>
        <v>0</v>
      </c>
      <c r="BA94" s="1">
        <f t="shared" si="92"/>
        <v>0</v>
      </c>
      <c r="BB94" s="1">
        <f t="shared" si="93"/>
        <v>0</v>
      </c>
      <c r="BC94" s="1">
        <f t="shared" si="94"/>
        <v>0</v>
      </c>
      <c r="BD94" s="1">
        <f t="shared" si="95"/>
        <v>0</v>
      </c>
      <c r="BE94" s="1">
        <f t="shared" si="96"/>
        <v>0</v>
      </c>
      <c r="BF94" s="1">
        <f t="shared" si="97"/>
        <v>0</v>
      </c>
      <c r="BG94" s="1">
        <f t="shared" si="98"/>
        <v>0</v>
      </c>
      <c r="BH94" s="1">
        <f t="shared" si="99"/>
        <v>0</v>
      </c>
      <c r="BI94" s="1">
        <f t="shared" si="100"/>
        <v>0</v>
      </c>
      <c r="BJ94" s="1">
        <f t="shared" si="101"/>
        <v>0</v>
      </c>
      <c r="BK94" s="1">
        <f t="shared" si="102"/>
        <v>0</v>
      </c>
      <c r="BL94" s="1">
        <f t="shared" si="103"/>
        <v>0</v>
      </c>
      <c r="BM94" s="1">
        <f t="shared" si="104"/>
        <v>0</v>
      </c>
      <c r="BN94" s="1">
        <f t="shared" si="105"/>
        <v>0</v>
      </c>
      <c r="BO94" s="1">
        <f t="shared" si="106"/>
        <v>0</v>
      </c>
      <c r="BP94" s="1">
        <f t="shared" si="107"/>
        <v>0</v>
      </c>
      <c r="BQ94" s="1">
        <f t="shared" si="108"/>
        <v>0</v>
      </c>
      <c r="BR94" s="1">
        <f t="shared" si="109"/>
        <v>0</v>
      </c>
      <c r="BS94" s="1">
        <f t="shared" si="110"/>
        <v>0</v>
      </c>
      <c r="BT94" s="1">
        <f t="shared" si="111"/>
        <v>0</v>
      </c>
      <c r="BU94" s="1">
        <f t="shared" si="48"/>
        <v>0</v>
      </c>
      <c r="BV94" s="1">
        <f t="shared" si="44"/>
        <v>0</v>
      </c>
      <c r="BW94" s="1">
        <f t="shared" si="44"/>
        <v>0</v>
      </c>
      <c r="BX94" s="1">
        <f t="shared" si="44"/>
        <v>0</v>
      </c>
      <c r="BY94" s="1">
        <f t="shared" si="44"/>
        <v>0</v>
      </c>
      <c r="BZ94" s="1">
        <f t="shared" si="44"/>
        <v>0</v>
      </c>
      <c r="CA94" s="1">
        <f t="shared" si="44"/>
        <v>0</v>
      </c>
      <c r="CB94" s="1">
        <f t="shared" si="44"/>
        <v>0</v>
      </c>
      <c r="CC94" s="1">
        <f t="shared" si="44"/>
        <v>0</v>
      </c>
      <c r="CD94" s="1">
        <f t="shared" si="44"/>
        <v>0</v>
      </c>
      <c r="CE94" s="1"/>
      <c r="CH94" s="1" t="s">
        <v>27</v>
      </c>
      <c r="CI94" s="1">
        <v>0</v>
      </c>
      <c r="CJ94" s="1">
        <v>0</v>
      </c>
      <c r="CK94" s="1">
        <v>0</v>
      </c>
      <c r="CL94" s="1">
        <v>0</v>
      </c>
      <c r="CM94" s="1">
        <v>0</v>
      </c>
      <c r="CN94" s="1">
        <v>0</v>
      </c>
      <c r="CO94" s="1">
        <v>0</v>
      </c>
      <c r="CP94" s="1">
        <v>49</v>
      </c>
      <c r="CQ94" s="1">
        <v>0</v>
      </c>
      <c r="CR94" s="1">
        <v>0</v>
      </c>
      <c r="CS94" s="1">
        <v>0</v>
      </c>
      <c r="CT94" s="1">
        <v>0</v>
      </c>
      <c r="CU94" s="1">
        <v>0</v>
      </c>
      <c r="CV94" s="1">
        <v>0</v>
      </c>
      <c r="CW94" s="1">
        <v>0</v>
      </c>
      <c r="CX94" s="1">
        <v>0</v>
      </c>
      <c r="CY94" s="1">
        <v>0</v>
      </c>
      <c r="CZ94" s="1">
        <v>0</v>
      </c>
      <c r="DA94" s="1">
        <v>0</v>
      </c>
      <c r="DB94" s="1">
        <v>0</v>
      </c>
      <c r="DC94" s="1">
        <v>0</v>
      </c>
      <c r="DD94" s="1">
        <v>0</v>
      </c>
      <c r="DE94" s="1">
        <v>0</v>
      </c>
      <c r="DF94" s="1">
        <v>0</v>
      </c>
      <c r="DG94" s="1">
        <v>0</v>
      </c>
      <c r="DH94" s="1">
        <v>0</v>
      </c>
      <c r="DI94" s="1">
        <v>0</v>
      </c>
      <c r="DJ94" s="1">
        <v>0</v>
      </c>
      <c r="DK94" s="1">
        <v>0</v>
      </c>
      <c r="DL94" s="1">
        <v>0</v>
      </c>
      <c r="DM94" s="1">
        <v>0</v>
      </c>
      <c r="DN94" s="1">
        <v>0</v>
      </c>
      <c r="DO94" s="1">
        <v>0</v>
      </c>
      <c r="DP94" s="1">
        <v>0</v>
      </c>
      <c r="DQ94" s="1">
        <v>0</v>
      </c>
      <c r="DR94" s="1">
        <v>0</v>
      </c>
      <c r="DS94" s="1">
        <v>0</v>
      </c>
      <c r="DT94" s="1">
        <v>0</v>
      </c>
      <c r="DU94" s="1">
        <v>0</v>
      </c>
      <c r="DV94" s="1">
        <v>0</v>
      </c>
      <c r="DW94" s="1">
        <v>0</v>
      </c>
      <c r="DX94" s="1">
        <v>0</v>
      </c>
      <c r="DY94" s="1">
        <v>0</v>
      </c>
      <c r="DZ94" s="1">
        <v>0</v>
      </c>
      <c r="EA94" s="1">
        <v>0</v>
      </c>
      <c r="EB94" s="1">
        <v>0</v>
      </c>
      <c r="EC94" s="1">
        <v>0</v>
      </c>
      <c r="ED94" s="1">
        <v>0</v>
      </c>
      <c r="EE94" s="1">
        <v>0</v>
      </c>
      <c r="EF94" s="1">
        <v>0</v>
      </c>
      <c r="EG94" s="1">
        <v>0</v>
      </c>
      <c r="EH94" s="1">
        <v>0</v>
      </c>
      <c r="EI94" s="1">
        <v>0</v>
      </c>
      <c r="EJ94" s="1">
        <v>0</v>
      </c>
      <c r="EK94" s="1">
        <v>0</v>
      </c>
      <c r="EL94" s="1">
        <v>0</v>
      </c>
      <c r="EM94" s="1">
        <v>0</v>
      </c>
      <c r="EN94" s="1">
        <v>0</v>
      </c>
      <c r="EO94" s="1">
        <v>0</v>
      </c>
      <c r="EP94" s="1">
        <v>0</v>
      </c>
      <c r="EQ94" s="1">
        <v>0</v>
      </c>
      <c r="ER94" s="1">
        <v>0</v>
      </c>
      <c r="ES94" s="1">
        <v>0</v>
      </c>
      <c r="ET94" s="1">
        <v>0</v>
      </c>
      <c r="EU94" s="1">
        <v>0</v>
      </c>
      <c r="EV94" s="1">
        <v>0</v>
      </c>
      <c r="EW94" s="1">
        <v>0</v>
      </c>
      <c r="EX94" s="1">
        <v>0</v>
      </c>
      <c r="EY94" s="1">
        <v>0</v>
      </c>
      <c r="EZ94" s="1">
        <v>0</v>
      </c>
      <c r="FA94" s="1">
        <v>0</v>
      </c>
      <c r="FB94" s="1">
        <v>0</v>
      </c>
      <c r="FC94" s="1">
        <v>0</v>
      </c>
      <c r="FD94" s="1">
        <v>0</v>
      </c>
      <c r="FE94" s="1">
        <f t="shared" si="46"/>
        <v>49</v>
      </c>
      <c r="FF94" s="1">
        <f>CT157</f>
        <v>45</v>
      </c>
      <c r="FG94" s="1">
        <f t="shared" si="47"/>
        <v>0</v>
      </c>
    </row>
    <row r="95" spans="8:163" ht="15.75" thickBot="1" x14ac:dyDescent="0.3">
      <c r="H95" s="1" t="s">
        <v>28</v>
      </c>
      <c r="I95" s="1">
        <f t="shared" si="45"/>
        <v>-2</v>
      </c>
      <c r="J95" s="1">
        <f t="shared" si="49"/>
        <v>0</v>
      </c>
      <c r="K95" s="1">
        <f t="shared" si="50"/>
        <v>0</v>
      </c>
      <c r="L95" s="1">
        <f t="shared" si="51"/>
        <v>0</v>
      </c>
      <c r="M95" s="1">
        <f t="shared" si="52"/>
        <v>0</v>
      </c>
      <c r="N95" s="1">
        <f t="shared" si="53"/>
        <v>0</v>
      </c>
      <c r="O95" s="1">
        <f t="shared" si="54"/>
        <v>0</v>
      </c>
      <c r="P95" s="1">
        <f t="shared" si="55"/>
        <v>0</v>
      </c>
      <c r="Q95" s="1">
        <f t="shared" si="56"/>
        <v>0</v>
      </c>
      <c r="R95" s="1">
        <f t="shared" si="57"/>
        <v>0</v>
      </c>
      <c r="S95" s="1">
        <f t="shared" si="58"/>
        <v>0</v>
      </c>
      <c r="T95" s="1">
        <f t="shared" si="59"/>
        <v>0</v>
      </c>
      <c r="U95" s="1">
        <f t="shared" si="60"/>
        <v>0</v>
      </c>
      <c r="V95" s="1">
        <f t="shared" si="61"/>
        <v>0</v>
      </c>
      <c r="W95" s="1">
        <f t="shared" si="62"/>
        <v>0</v>
      </c>
      <c r="X95" s="1">
        <f t="shared" si="63"/>
        <v>0</v>
      </c>
      <c r="Y95" s="1">
        <f t="shared" si="64"/>
        <v>0</v>
      </c>
      <c r="Z95" s="1">
        <f t="shared" si="65"/>
        <v>0</v>
      </c>
      <c r="AA95" s="1">
        <f t="shared" si="66"/>
        <v>0</v>
      </c>
      <c r="AB95" s="1">
        <f t="shared" si="67"/>
        <v>0</v>
      </c>
      <c r="AC95" s="1">
        <f t="shared" si="68"/>
        <v>0</v>
      </c>
      <c r="AD95" s="1">
        <f t="shared" si="69"/>
        <v>0</v>
      </c>
      <c r="AE95" s="1">
        <f t="shared" si="70"/>
        <v>0</v>
      </c>
      <c r="AF95" s="1">
        <f t="shared" si="71"/>
        <v>0</v>
      </c>
      <c r="AG95" s="1">
        <f t="shared" si="72"/>
        <v>0</v>
      </c>
      <c r="AH95" s="1">
        <f t="shared" si="73"/>
        <v>0</v>
      </c>
      <c r="AI95" s="1">
        <f t="shared" si="74"/>
        <v>0</v>
      </c>
      <c r="AJ95" s="1">
        <f t="shared" si="75"/>
        <v>0</v>
      </c>
      <c r="AK95" s="1">
        <f t="shared" si="76"/>
        <v>0</v>
      </c>
      <c r="AL95" s="1">
        <f t="shared" si="77"/>
        <v>0</v>
      </c>
      <c r="AM95" s="1">
        <f t="shared" si="78"/>
        <v>0</v>
      </c>
      <c r="AN95" s="1">
        <f t="shared" si="79"/>
        <v>0</v>
      </c>
      <c r="AO95" s="1">
        <f t="shared" si="80"/>
        <v>0</v>
      </c>
      <c r="AP95" s="1">
        <f t="shared" si="81"/>
        <v>0</v>
      </c>
      <c r="AQ95" s="1">
        <f t="shared" si="82"/>
        <v>0</v>
      </c>
      <c r="AR95" s="1">
        <f t="shared" si="83"/>
        <v>0</v>
      </c>
      <c r="AS95" s="1">
        <f t="shared" si="84"/>
        <v>0</v>
      </c>
      <c r="AT95" s="1">
        <f t="shared" si="85"/>
        <v>0</v>
      </c>
      <c r="AU95" s="1">
        <f t="shared" si="86"/>
        <v>0</v>
      </c>
      <c r="AV95" s="1">
        <f t="shared" si="87"/>
        <v>0</v>
      </c>
      <c r="AW95" s="1">
        <f t="shared" si="88"/>
        <v>0</v>
      </c>
      <c r="AX95" s="1">
        <f t="shared" si="89"/>
        <v>0</v>
      </c>
      <c r="AY95" s="1">
        <f t="shared" si="90"/>
        <v>0</v>
      </c>
      <c r="AZ95" s="1">
        <f t="shared" si="91"/>
        <v>0</v>
      </c>
      <c r="BA95" s="1">
        <f t="shared" si="92"/>
        <v>0</v>
      </c>
      <c r="BB95" s="1">
        <f t="shared" si="93"/>
        <v>0</v>
      </c>
      <c r="BC95" s="1">
        <f t="shared" si="94"/>
        <v>0</v>
      </c>
      <c r="BD95" s="1">
        <f t="shared" si="95"/>
        <v>0</v>
      </c>
      <c r="BE95" s="1">
        <f t="shared" si="96"/>
        <v>0</v>
      </c>
      <c r="BF95" s="1">
        <f t="shared" si="97"/>
        <v>0</v>
      </c>
      <c r="BG95" s="1">
        <f t="shared" si="98"/>
        <v>0</v>
      </c>
      <c r="BH95" s="1">
        <f t="shared" si="99"/>
        <v>0</v>
      </c>
      <c r="BI95" s="1">
        <f t="shared" si="100"/>
        <v>0</v>
      </c>
      <c r="BJ95" s="1">
        <f t="shared" si="101"/>
        <v>0</v>
      </c>
      <c r="BK95" s="1">
        <f t="shared" si="102"/>
        <v>0</v>
      </c>
      <c r="BL95" s="1">
        <f t="shared" si="103"/>
        <v>0</v>
      </c>
      <c r="BM95" s="1">
        <f t="shared" si="104"/>
        <v>0</v>
      </c>
      <c r="BN95" s="1">
        <f t="shared" si="105"/>
        <v>0</v>
      </c>
      <c r="BO95" s="1">
        <f t="shared" si="106"/>
        <v>0</v>
      </c>
      <c r="BP95" s="1">
        <f t="shared" si="107"/>
        <v>0</v>
      </c>
      <c r="BQ95" s="1">
        <f t="shared" si="108"/>
        <v>0</v>
      </c>
      <c r="BR95" s="1">
        <f t="shared" si="109"/>
        <v>0</v>
      </c>
      <c r="BS95" s="1">
        <f t="shared" si="110"/>
        <v>0</v>
      </c>
      <c r="BT95" s="1">
        <f t="shared" si="111"/>
        <v>0</v>
      </c>
      <c r="BU95" s="1">
        <f t="shared" si="48"/>
        <v>0</v>
      </c>
      <c r="BV95" s="1">
        <f t="shared" si="44"/>
        <v>0</v>
      </c>
      <c r="BW95" s="1">
        <f t="shared" si="44"/>
        <v>0</v>
      </c>
      <c r="BX95" s="1">
        <f t="shared" si="44"/>
        <v>0</v>
      </c>
      <c r="BY95" s="1">
        <f t="shared" si="44"/>
        <v>0</v>
      </c>
      <c r="BZ95" s="1">
        <f t="shared" si="44"/>
        <v>0</v>
      </c>
      <c r="CA95" s="1">
        <f t="shared" si="44"/>
        <v>0</v>
      </c>
      <c r="CB95" s="1">
        <f t="shared" si="44"/>
        <v>0</v>
      </c>
      <c r="CC95" s="1">
        <f t="shared" si="44"/>
        <v>0</v>
      </c>
      <c r="CD95" s="1">
        <f t="shared" si="44"/>
        <v>0</v>
      </c>
      <c r="CE95" s="1"/>
      <c r="CH95" s="1" t="s">
        <v>28</v>
      </c>
      <c r="CI95" s="1">
        <v>68</v>
      </c>
      <c r="CJ95" s="1">
        <v>0</v>
      </c>
      <c r="CK95" s="1">
        <v>0</v>
      </c>
      <c r="CL95" s="1">
        <v>0</v>
      </c>
      <c r="CM95" s="1">
        <v>0</v>
      </c>
      <c r="CN95" s="1">
        <v>0</v>
      </c>
      <c r="CO95" s="1">
        <v>0</v>
      </c>
      <c r="CP95" s="1">
        <v>0</v>
      </c>
      <c r="CQ95" s="1">
        <v>0</v>
      </c>
      <c r="CR95" s="1">
        <v>0</v>
      </c>
      <c r="CS95" s="1">
        <v>0</v>
      </c>
      <c r="CT95" s="1">
        <v>0</v>
      </c>
      <c r="CU95" s="1">
        <v>0</v>
      </c>
      <c r="CV95" s="1">
        <v>0</v>
      </c>
      <c r="CW95" s="1">
        <v>0</v>
      </c>
      <c r="CX95" s="1">
        <v>0</v>
      </c>
      <c r="CY95" s="1">
        <v>0</v>
      </c>
      <c r="CZ95" s="1">
        <v>0</v>
      </c>
      <c r="DA95" s="1">
        <v>0</v>
      </c>
      <c r="DB95" s="1">
        <v>0</v>
      </c>
      <c r="DC95" s="1">
        <v>0</v>
      </c>
      <c r="DD95" s="1">
        <v>0</v>
      </c>
      <c r="DE95" s="1">
        <v>0</v>
      </c>
      <c r="DF95" s="1">
        <v>0</v>
      </c>
      <c r="DG95" s="1">
        <v>0</v>
      </c>
      <c r="DH95" s="1">
        <v>0</v>
      </c>
      <c r="DI95" s="1">
        <v>0</v>
      </c>
      <c r="DJ95" s="1">
        <v>0</v>
      </c>
      <c r="DK95" s="1">
        <v>0</v>
      </c>
      <c r="DL95" s="1">
        <v>0</v>
      </c>
      <c r="DM95" s="1">
        <v>0</v>
      </c>
      <c r="DN95" s="1">
        <v>0</v>
      </c>
      <c r="DO95" s="1">
        <v>0</v>
      </c>
      <c r="DP95" s="1">
        <v>0</v>
      </c>
      <c r="DQ95" s="1">
        <v>0</v>
      </c>
      <c r="DR95" s="1">
        <v>0</v>
      </c>
      <c r="DS95" s="1">
        <v>0</v>
      </c>
      <c r="DT95" s="1">
        <v>0</v>
      </c>
      <c r="DU95" s="1">
        <v>0</v>
      </c>
      <c r="DV95" s="1">
        <v>0</v>
      </c>
      <c r="DW95" s="1">
        <v>0</v>
      </c>
      <c r="DX95" s="1">
        <v>0</v>
      </c>
      <c r="DY95" s="1">
        <v>0</v>
      </c>
      <c r="DZ95" s="1">
        <v>0</v>
      </c>
      <c r="EA95" s="1">
        <v>0</v>
      </c>
      <c r="EB95" s="1">
        <v>0</v>
      </c>
      <c r="EC95" s="1">
        <v>0</v>
      </c>
      <c r="ED95" s="1">
        <v>0</v>
      </c>
      <c r="EE95" s="1">
        <v>0</v>
      </c>
      <c r="EF95" s="1">
        <v>0</v>
      </c>
      <c r="EG95" s="1">
        <v>0</v>
      </c>
      <c r="EH95" s="1">
        <v>0</v>
      </c>
      <c r="EI95" s="1">
        <v>0</v>
      </c>
      <c r="EJ95" s="1">
        <v>0</v>
      </c>
      <c r="EK95" s="1">
        <v>0</v>
      </c>
      <c r="EL95" s="1">
        <v>0</v>
      </c>
      <c r="EM95" s="1">
        <v>0</v>
      </c>
      <c r="EN95" s="1">
        <v>0</v>
      </c>
      <c r="EO95" s="1">
        <v>0</v>
      </c>
      <c r="EP95" s="1">
        <v>0</v>
      </c>
      <c r="EQ95" s="1">
        <v>0</v>
      </c>
      <c r="ER95" s="1">
        <v>0</v>
      </c>
      <c r="ES95" s="1">
        <v>0</v>
      </c>
      <c r="ET95" s="1">
        <v>0</v>
      </c>
      <c r="EU95" s="1">
        <v>0</v>
      </c>
      <c r="EV95" s="1">
        <v>0</v>
      </c>
      <c r="EW95" s="1">
        <v>0</v>
      </c>
      <c r="EX95" s="1">
        <v>0</v>
      </c>
      <c r="EY95" s="1">
        <v>0</v>
      </c>
      <c r="EZ95" s="1">
        <v>0</v>
      </c>
      <c r="FA95" s="1">
        <v>0</v>
      </c>
      <c r="FB95" s="1">
        <v>0</v>
      </c>
      <c r="FC95" s="1">
        <v>0</v>
      </c>
      <c r="FD95" s="1">
        <v>0</v>
      </c>
      <c r="FE95" s="1">
        <f t="shared" si="46"/>
        <v>68</v>
      </c>
      <c r="FF95" s="1">
        <f>CU157</f>
        <v>61</v>
      </c>
      <c r="FG95" s="1">
        <f t="shared" si="47"/>
        <v>0</v>
      </c>
    </row>
    <row r="96" spans="8:163" ht="15.75" thickBot="1" x14ac:dyDescent="0.3">
      <c r="H96" s="1" t="s">
        <v>29</v>
      </c>
      <c r="I96" s="1">
        <f t="shared" si="45"/>
        <v>0</v>
      </c>
      <c r="J96" s="1">
        <f t="shared" si="49"/>
        <v>0</v>
      </c>
      <c r="K96" s="1">
        <f t="shared" si="50"/>
        <v>0</v>
      </c>
      <c r="L96" s="1">
        <f t="shared" si="51"/>
        <v>0</v>
      </c>
      <c r="M96" s="1">
        <f t="shared" si="52"/>
        <v>0</v>
      </c>
      <c r="N96" s="1">
        <f t="shared" si="53"/>
        <v>0</v>
      </c>
      <c r="O96" s="1">
        <f t="shared" si="54"/>
        <v>0</v>
      </c>
      <c r="P96" s="1">
        <f t="shared" si="55"/>
        <v>0</v>
      </c>
      <c r="Q96" s="1">
        <f t="shared" si="56"/>
        <v>0</v>
      </c>
      <c r="R96" s="1">
        <f t="shared" si="57"/>
        <v>0</v>
      </c>
      <c r="S96" s="1">
        <f t="shared" si="58"/>
        <v>0</v>
      </c>
      <c r="T96" s="1">
        <f t="shared" si="59"/>
        <v>0</v>
      </c>
      <c r="U96" s="1">
        <f t="shared" si="60"/>
        <v>0</v>
      </c>
      <c r="V96" s="1">
        <f t="shared" si="61"/>
        <v>0</v>
      </c>
      <c r="W96" s="1">
        <f t="shared" si="62"/>
        <v>0</v>
      </c>
      <c r="X96" s="1">
        <f t="shared" si="63"/>
        <v>0</v>
      </c>
      <c r="Y96" s="1">
        <f t="shared" si="64"/>
        <v>0</v>
      </c>
      <c r="Z96" s="1">
        <f t="shared" si="65"/>
        <v>0</v>
      </c>
      <c r="AA96" s="1">
        <f t="shared" si="66"/>
        <v>0</v>
      </c>
      <c r="AB96" s="1">
        <f t="shared" si="67"/>
        <v>0</v>
      </c>
      <c r="AC96" s="1">
        <f t="shared" si="68"/>
        <v>0</v>
      </c>
      <c r="AD96" s="1">
        <f t="shared" si="69"/>
        <v>0</v>
      </c>
      <c r="AE96" s="1">
        <f t="shared" si="70"/>
        <v>0</v>
      </c>
      <c r="AF96" s="1">
        <f t="shared" si="71"/>
        <v>0</v>
      </c>
      <c r="AG96" s="1">
        <f t="shared" si="72"/>
        <v>0</v>
      </c>
      <c r="AH96" s="1">
        <f t="shared" si="73"/>
        <v>0</v>
      </c>
      <c r="AI96" s="1">
        <f t="shared" si="74"/>
        <v>0</v>
      </c>
      <c r="AJ96" s="1">
        <f t="shared" si="75"/>
        <v>0</v>
      </c>
      <c r="AK96" s="1">
        <f t="shared" si="76"/>
        <v>0</v>
      </c>
      <c r="AL96" s="1">
        <f t="shared" si="77"/>
        <v>0</v>
      </c>
      <c r="AM96" s="1">
        <f t="shared" si="78"/>
        <v>0</v>
      </c>
      <c r="AN96" s="1">
        <f t="shared" si="79"/>
        <v>0</v>
      </c>
      <c r="AO96" s="1">
        <f t="shared" si="80"/>
        <v>0</v>
      </c>
      <c r="AP96" s="1">
        <f t="shared" si="81"/>
        <v>0</v>
      </c>
      <c r="AQ96" s="1">
        <f t="shared" si="82"/>
        <v>0</v>
      </c>
      <c r="AR96" s="1">
        <f t="shared" si="83"/>
        <v>0</v>
      </c>
      <c r="AS96" s="1">
        <f t="shared" si="84"/>
        <v>0</v>
      </c>
      <c r="AT96" s="1">
        <f t="shared" si="85"/>
        <v>0</v>
      </c>
      <c r="AU96" s="1">
        <f t="shared" si="86"/>
        <v>0</v>
      </c>
      <c r="AV96" s="1">
        <f t="shared" si="87"/>
        <v>0</v>
      </c>
      <c r="AW96" s="1">
        <f t="shared" si="88"/>
        <v>0</v>
      </c>
      <c r="AX96" s="1">
        <f t="shared" si="89"/>
        <v>0</v>
      </c>
      <c r="AY96" s="1">
        <f t="shared" si="90"/>
        <v>0</v>
      </c>
      <c r="AZ96" s="1">
        <f t="shared" si="91"/>
        <v>0</v>
      </c>
      <c r="BA96" s="1">
        <f t="shared" si="92"/>
        <v>0</v>
      </c>
      <c r="BB96" s="1">
        <f t="shared" si="93"/>
        <v>0</v>
      </c>
      <c r="BC96" s="1">
        <f t="shared" si="94"/>
        <v>0</v>
      </c>
      <c r="BD96" s="1">
        <f t="shared" si="95"/>
        <v>0</v>
      </c>
      <c r="BE96" s="1">
        <f t="shared" si="96"/>
        <v>0</v>
      </c>
      <c r="BF96" s="1">
        <f t="shared" si="97"/>
        <v>0</v>
      </c>
      <c r="BG96" s="1">
        <f t="shared" si="98"/>
        <v>0</v>
      </c>
      <c r="BH96" s="1">
        <f t="shared" si="99"/>
        <v>0</v>
      </c>
      <c r="BI96" s="1">
        <f t="shared" si="100"/>
        <v>0</v>
      </c>
      <c r="BJ96" s="1">
        <f t="shared" si="101"/>
        <v>0</v>
      </c>
      <c r="BK96" s="1">
        <f t="shared" si="102"/>
        <v>0</v>
      </c>
      <c r="BL96" s="1">
        <f t="shared" si="103"/>
        <v>-11</v>
      </c>
      <c r="BM96" s="1">
        <f t="shared" si="104"/>
        <v>0</v>
      </c>
      <c r="BN96" s="1">
        <f t="shared" si="105"/>
        <v>0</v>
      </c>
      <c r="BO96" s="1">
        <f t="shared" si="106"/>
        <v>0</v>
      </c>
      <c r="BP96" s="1">
        <f t="shared" si="107"/>
        <v>0</v>
      </c>
      <c r="BQ96" s="1">
        <f t="shared" si="108"/>
        <v>0</v>
      </c>
      <c r="BR96" s="1">
        <f t="shared" si="109"/>
        <v>0</v>
      </c>
      <c r="BS96" s="1">
        <f t="shared" si="110"/>
        <v>0</v>
      </c>
      <c r="BT96" s="1">
        <f t="shared" si="111"/>
        <v>0</v>
      </c>
      <c r="BU96" s="1">
        <f t="shared" si="48"/>
        <v>0</v>
      </c>
      <c r="BV96" s="1">
        <f t="shared" si="44"/>
        <v>0</v>
      </c>
      <c r="BW96" s="1">
        <f t="shared" si="44"/>
        <v>0</v>
      </c>
      <c r="BX96" s="1">
        <f t="shared" si="44"/>
        <v>0</v>
      </c>
      <c r="BY96" s="1">
        <f t="shared" si="44"/>
        <v>0</v>
      </c>
      <c r="BZ96" s="1">
        <f t="shared" si="44"/>
        <v>0</v>
      </c>
      <c r="CA96" s="1">
        <f t="shared" si="44"/>
        <v>0</v>
      </c>
      <c r="CB96" s="1">
        <f t="shared" si="44"/>
        <v>0</v>
      </c>
      <c r="CC96" s="1">
        <f t="shared" si="44"/>
        <v>0</v>
      </c>
      <c r="CD96" s="1">
        <f t="shared" si="44"/>
        <v>0</v>
      </c>
      <c r="CE96" s="1"/>
      <c r="CH96" s="1" t="s">
        <v>29</v>
      </c>
      <c r="CI96" s="1">
        <v>0</v>
      </c>
      <c r="CJ96" s="1">
        <v>0</v>
      </c>
      <c r="CK96" s="1">
        <v>0</v>
      </c>
      <c r="CL96" s="1">
        <v>0</v>
      </c>
      <c r="CM96" s="1">
        <v>0</v>
      </c>
      <c r="CN96" s="1">
        <v>0</v>
      </c>
      <c r="CO96" s="1">
        <v>0</v>
      </c>
      <c r="CP96" s="1">
        <v>0</v>
      </c>
      <c r="CQ96" s="1">
        <v>0</v>
      </c>
      <c r="CR96" s="1">
        <v>0</v>
      </c>
      <c r="CS96" s="1">
        <v>0</v>
      </c>
      <c r="CT96" s="1">
        <v>0</v>
      </c>
      <c r="CU96" s="1">
        <v>0</v>
      </c>
      <c r="CV96" s="1">
        <v>0</v>
      </c>
      <c r="CW96" s="1">
        <v>0</v>
      </c>
      <c r="CX96" s="1">
        <v>0</v>
      </c>
      <c r="CY96" s="1">
        <v>0</v>
      </c>
      <c r="CZ96" s="1">
        <v>0</v>
      </c>
      <c r="DA96" s="1">
        <v>0</v>
      </c>
      <c r="DB96" s="1">
        <v>0</v>
      </c>
      <c r="DC96" s="1">
        <v>0</v>
      </c>
      <c r="DD96" s="1">
        <v>0</v>
      </c>
      <c r="DE96" s="1">
        <v>0</v>
      </c>
      <c r="DF96" s="1">
        <v>0</v>
      </c>
      <c r="DG96" s="1">
        <v>0</v>
      </c>
      <c r="DH96" s="1">
        <v>0</v>
      </c>
      <c r="DI96" s="1">
        <v>0</v>
      </c>
      <c r="DJ96" s="1">
        <v>0</v>
      </c>
      <c r="DK96" s="1">
        <v>0</v>
      </c>
      <c r="DL96" s="1">
        <v>0</v>
      </c>
      <c r="DM96" s="1">
        <v>0</v>
      </c>
      <c r="DN96" s="1">
        <v>0</v>
      </c>
      <c r="DO96" s="1">
        <v>0</v>
      </c>
      <c r="DP96" s="1">
        <v>0</v>
      </c>
      <c r="DQ96" s="1">
        <v>0</v>
      </c>
      <c r="DR96" s="1">
        <v>0</v>
      </c>
      <c r="DS96" s="1">
        <v>0</v>
      </c>
      <c r="DT96" s="1">
        <v>0</v>
      </c>
      <c r="DU96" s="1">
        <v>0</v>
      </c>
      <c r="DV96" s="1">
        <v>0</v>
      </c>
      <c r="DW96" s="1">
        <v>0</v>
      </c>
      <c r="DX96" s="1">
        <v>0</v>
      </c>
      <c r="DY96" s="1">
        <v>0</v>
      </c>
      <c r="DZ96" s="1">
        <v>0</v>
      </c>
      <c r="EA96" s="1">
        <v>0</v>
      </c>
      <c r="EB96" s="1">
        <v>0</v>
      </c>
      <c r="EC96" s="1">
        <v>0</v>
      </c>
      <c r="ED96" s="1">
        <v>0</v>
      </c>
      <c r="EE96" s="1">
        <v>0</v>
      </c>
      <c r="EF96" s="1">
        <v>0</v>
      </c>
      <c r="EG96" s="1">
        <v>0</v>
      </c>
      <c r="EH96" s="1">
        <v>0</v>
      </c>
      <c r="EI96" s="1">
        <v>0</v>
      </c>
      <c r="EJ96" s="1">
        <v>0</v>
      </c>
      <c r="EK96" s="1">
        <v>0</v>
      </c>
      <c r="EL96" s="1">
        <v>59</v>
      </c>
      <c r="EM96" s="1">
        <v>0</v>
      </c>
      <c r="EN96" s="1">
        <v>0</v>
      </c>
      <c r="EO96" s="1">
        <v>0</v>
      </c>
      <c r="EP96" s="1">
        <v>0</v>
      </c>
      <c r="EQ96" s="1">
        <v>0</v>
      </c>
      <c r="ER96" s="1">
        <v>0</v>
      </c>
      <c r="ES96" s="1">
        <v>0</v>
      </c>
      <c r="ET96" s="1">
        <v>0</v>
      </c>
      <c r="EU96" s="1">
        <v>0</v>
      </c>
      <c r="EV96" s="1">
        <v>0</v>
      </c>
      <c r="EW96" s="1">
        <v>0</v>
      </c>
      <c r="EX96" s="1">
        <v>0</v>
      </c>
      <c r="EY96" s="1">
        <v>0</v>
      </c>
      <c r="EZ96" s="1">
        <v>0</v>
      </c>
      <c r="FA96" s="1">
        <v>0</v>
      </c>
      <c r="FB96" s="1">
        <v>0</v>
      </c>
      <c r="FC96" s="1">
        <v>0</v>
      </c>
      <c r="FD96" s="1">
        <v>0</v>
      </c>
      <c r="FE96" s="1">
        <f t="shared" si="46"/>
        <v>59</v>
      </c>
      <c r="FF96" s="1">
        <f>CV157</f>
        <v>48</v>
      </c>
      <c r="FG96" s="1">
        <f t="shared" si="47"/>
        <v>0</v>
      </c>
    </row>
    <row r="97" spans="8:163" ht="15.75" thickBot="1" x14ac:dyDescent="0.3">
      <c r="H97" s="1" t="s">
        <v>30</v>
      </c>
      <c r="I97" s="1">
        <f t="shared" si="45"/>
        <v>0</v>
      </c>
      <c r="J97" s="1">
        <f t="shared" si="49"/>
        <v>0</v>
      </c>
      <c r="K97" s="1">
        <f t="shared" si="50"/>
        <v>0</v>
      </c>
      <c r="L97" s="1">
        <f t="shared" si="51"/>
        <v>0</v>
      </c>
      <c r="M97" s="1">
        <f t="shared" si="52"/>
        <v>0</v>
      </c>
      <c r="N97" s="1">
        <f t="shared" si="53"/>
        <v>0</v>
      </c>
      <c r="O97" s="1">
        <f t="shared" si="54"/>
        <v>0</v>
      </c>
      <c r="P97" s="1">
        <f t="shared" si="55"/>
        <v>0</v>
      </c>
      <c r="Q97" s="1">
        <f t="shared" si="56"/>
        <v>-30</v>
      </c>
      <c r="R97" s="1">
        <f t="shared" si="57"/>
        <v>0</v>
      </c>
      <c r="S97" s="1">
        <f t="shared" si="58"/>
        <v>0</v>
      </c>
      <c r="T97" s="1">
        <f t="shared" si="59"/>
        <v>0</v>
      </c>
      <c r="U97" s="1">
        <f t="shared" si="60"/>
        <v>0</v>
      </c>
      <c r="V97" s="1">
        <f t="shared" si="61"/>
        <v>0</v>
      </c>
      <c r="W97" s="1">
        <f t="shared" si="62"/>
        <v>0</v>
      </c>
      <c r="X97" s="1">
        <f t="shared" si="63"/>
        <v>0</v>
      </c>
      <c r="Y97" s="1">
        <f t="shared" si="64"/>
        <v>0</v>
      </c>
      <c r="Z97" s="1">
        <f t="shared" si="65"/>
        <v>0</v>
      </c>
      <c r="AA97" s="1">
        <f t="shared" si="66"/>
        <v>0</v>
      </c>
      <c r="AB97" s="1">
        <f t="shared" si="67"/>
        <v>0</v>
      </c>
      <c r="AC97" s="1">
        <f t="shared" si="68"/>
        <v>0</v>
      </c>
      <c r="AD97" s="1">
        <f t="shared" si="69"/>
        <v>0</v>
      </c>
      <c r="AE97" s="1">
        <f t="shared" si="70"/>
        <v>0</v>
      </c>
      <c r="AF97" s="1">
        <f t="shared" si="71"/>
        <v>0</v>
      </c>
      <c r="AG97" s="1">
        <f t="shared" si="72"/>
        <v>0</v>
      </c>
      <c r="AH97" s="1">
        <f t="shared" si="73"/>
        <v>0</v>
      </c>
      <c r="AI97" s="1">
        <f t="shared" si="74"/>
        <v>0</v>
      </c>
      <c r="AJ97" s="1">
        <f t="shared" si="75"/>
        <v>0</v>
      </c>
      <c r="AK97" s="1">
        <f t="shared" si="76"/>
        <v>0</v>
      </c>
      <c r="AL97" s="1">
        <f t="shared" si="77"/>
        <v>0</v>
      </c>
      <c r="AM97" s="1">
        <f t="shared" si="78"/>
        <v>0</v>
      </c>
      <c r="AN97" s="1">
        <f t="shared" si="79"/>
        <v>0</v>
      </c>
      <c r="AO97" s="1">
        <f t="shared" si="80"/>
        <v>0</v>
      </c>
      <c r="AP97" s="1">
        <f t="shared" si="81"/>
        <v>0</v>
      </c>
      <c r="AQ97" s="1">
        <f t="shared" si="82"/>
        <v>0</v>
      </c>
      <c r="AR97" s="1">
        <f t="shared" si="83"/>
        <v>0</v>
      </c>
      <c r="AS97" s="1">
        <f t="shared" si="84"/>
        <v>0</v>
      </c>
      <c r="AT97" s="1">
        <f t="shared" si="85"/>
        <v>0</v>
      </c>
      <c r="AU97" s="1">
        <f t="shared" si="86"/>
        <v>0</v>
      </c>
      <c r="AV97" s="1">
        <f t="shared" si="87"/>
        <v>0</v>
      </c>
      <c r="AW97" s="1">
        <f t="shared" si="88"/>
        <v>0</v>
      </c>
      <c r="AX97" s="1">
        <f t="shared" si="89"/>
        <v>0</v>
      </c>
      <c r="AY97" s="1">
        <f t="shared" si="90"/>
        <v>0</v>
      </c>
      <c r="AZ97" s="1">
        <f t="shared" si="91"/>
        <v>0</v>
      </c>
      <c r="BA97" s="1">
        <f t="shared" si="92"/>
        <v>0</v>
      </c>
      <c r="BB97" s="1">
        <f t="shared" si="93"/>
        <v>0</v>
      </c>
      <c r="BC97" s="1">
        <f t="shared" si="94"/>
        <v>0</v>
      </c>
      <c r="BD97" s="1">
        <f t="shared" si="95"/>
        <v>0</v>
      </c>
      <c r="BE97" s="1">
        <f t="shared" si="96"/>
        <v>0</v>
      </c>
      <c r="BF97" s="1">
        <f t="shared" si="97"/>
        <v>0</v>
      </c>
      <c r="BG97" s="1">
        <f t="shared" si="98"/>
        <v>0</v>
      </c>
      <c r="BH97" s="1">
        <f t="shared" si="99"/>
        <v>0</v>
      </c>
      <c r="BI97" s="1">
        <f t="shared" si="100"/>
        <v>0</v>
      </c>
      <c r="BJ97" s="1">
        <f t="shared" si="101"/>
        <v>0</v>
      </c>
      <c r="BK97" s="1">
        <f t="shared" si="102"/>
        <v>0</v>
      </c>
      <c r="BL97" s="1">
        <f t="shared" si="103"/>
        <v>0</v>
      </c>
      <c r="BM97" s="1">
        <f t="shared" si="104"/>
        <v>0</v>
      </c>
      <c r="BN97" s="1">
        <f t="shared" si="105"/>
        <v>0</v>
      </c>
      <c r="BO97" s="1">
        <f t="shared" si="106"/>
        <v>0</v>
      </c>
      <c r="BP97" s="1">
        <f t="shared" si="107"/>
        <v>0</v>
      </c>
      <c r="BQ97" s="1">
        <f t="shared" si="108"/>
        <v>0</v>
      </c>
      <c r="BR97" s="1">
        <f t="shared" si="109"/>
        <v>0</v>
      </c>
      <c r="BS97" s="1">
        <f t="shared" si="110"/>
        <v>0</v>
      </c>
      <c r="BT97" s="1">
        <f t="shared" si="111"/>
        <v>0</v>
      </c>
      <c r="BU97" s="1">
        <f t="shared" si="48"/>
        <v>0</v>
      </c>
      <c r="BV97" s="1">
        <f t="shared" si="44"/>
        <v>0</v>
      </c>
      <c r="BW97" s="1">
        <f t="shared" si="44"/>
        <v>0</v>
      </c>
      <c r="BX97" s="1">
        <f t="shared" si="44"/>
        <v>0</v>
      </c>
      <c r="BY97" s="1">
        <f t="shared" si="44"/>
        <v>0</v>
      </c>
      <c r="BZ97" s="1">
        <f t="shared" si="44"/>
        <v>0</v>
      </c>
      <c r="CA97" s="1">
        <f t="shared" si="44"/>
        <v>0</v>
      </c>
      <c r="CB97" s="1">
        <f t="shared" si="44"/>
        <v>0</v>
      </c>
      <c r="CC97" s="1">
        <f t="shared" si="44"/>
        <v>0</v>
      </c>
      <c r="CD97" s="1">
        <f t="shared" si="44"/>
        <v>0</v>
      </c>
      <c r="CE97" s="1"/>
      <c r="CH97" s="1" t="s">
        <v>30</v>
      </c>
      <c r="CI97" s="1">
        <v>0</v>
      </c>
      <c r="CJ97" s="1">
        <v>0</v>
      </c>
      <c r="CK97" s="1">
        <v>0</v>
      </c>
      <c r="CL97" s="1">
        <v>0</v>
      </c>
      <c r="CM97" s="1">
        <v>0</v>
      </c>
      <c r="CN97" s="1">
        <v>0</v>
      </c>
      <c r="CO97" s="1">
        <v>0</v>
      </c>
      <c r="CP97" s="1">
        <v>0</v>
      </c>
      <c r="CQ97" s="1">
        <v>40</v>
      </c>
      <c r="CR97" s="1">
        <v>0</v>
      </c>
      <c r="CS97" s="1">
        <v>0</v>
      </c>
      <c r="CT97" s="1">
        <v>0</v>
      </c>
      <c r="CU97" s="1">
        <v>0</v>
      </c>
      <c r="CV97" s="1">
        <v>0</v>
      </c>
      <c r="CW97" s="1">
        <v>0</v>
      </c>
      <c r="CX97" s="1">
        <v>0</v>
      </c>
      <c r="CY97" s="1">
        <v>0</v>
      </c>
      <c r="CZ97" s="1">
        <v>0</v>
      </c>
      <c r="DA97" s="1">
        <v>0</v>
      </c>
      <c r="DB97" s="1">
        <v>0</v>
      </c>
      <c r="DC97" s="1">
        <v>0</v>
      </c>
      <c r="DD97" s="1">
        <v>0</v>
      </c>
      <c r="DE97" s="1">
        <v>0</v>
      </c>
      <c r="DF97" s="1">
        <v>0</v>
      </c>
      <c r="DG97" s="1">
        <v>0</v>
      </c>
      <c r="DH97" s="1">
        <v>0</v>
      </c>
      <c r="DI97" s="1">
        <v>0</v>
      </c>
      <c r="DJ97" s="1">
        <v>0</v>
      </c>
      <c r="DK97" s="1">
        <v>0</v>
      </c>
      <c r="DL97" s="1">
        <v>0</v>
      </c>
      <c r="DM97" s="1">
        <v>0</v>
      </c>
      <c r="DN97" s="1">
        <v>0</v>
      </c>
      <c r="DO97" s="1">
        <v>0</v>
      </c>
      <c r="DP97" s="1">
        <v>0</v>
      </c>
      <c r="DQ97" s="1">
        <v>0</v>
      </c>
      <c r="DR97" s="1">
        <v>0</v>
      </c>
      <c r="DS97" s="1">
        <v>0</v>
      </c>
      <c r="DT97" s="1">
        <v>0</v>
      </c>
      <c r="DU97" s="1">
        <v>0</v>
      </c>
      <c r="DV97" s="1">
        <v>0</v>
      </c>
      <c r="DW97" s="1">
        <v>0</v>
      </c>
      <c r="DX97" s="1">
        <v>0</v>
      </c>
      <c r="DY97" s="1">
        <v>0</v>
      </c>
      <c r="DZ97" s="1">
        <v>0</v>
      </c>
      <c r="EA97" s="1">
        <v>0</v>
      </c>
      <c r="EB97" s="1">
        <v>0</v>
      </c>
      <c r="EC97" s="1">
        <v>0</v>
      </c>
      <c r="ED97" s="1">
        <v>0</v>
      </c>
      <c r="EE97" s="1">
        <v>0</v>
      </c>
      <c r="EF97" s="1">
        <v>0</v>
      </c>
      <c r="EG97" s="1">
        <v>0</v>
      </c>
      <c r="EH97" s="1">
        <v>0</v>
      </c>
      <c r="EI97" s="1">
        <v>0</v>
      </c>
      <c r="EJ97" s="1">
        <v>0</v>
      </c>
      <c r="EK97" s="1">
        <v>0</v>
      </c>
      <c r="EL97" s="1">
        <v>0</v>
      </c>
      <c r="EM97" s="1">
        <v>0</v>
      </c>
      <c r="EN97" s="1">
        <v>0</v>
      </c>
      <c r="EO97" s="1">
        <v>0</v>
      </c>
      <c r="EP97" s="1">
        <v>0</v>
      </c>
      <c r="EQ97" s="1">
        <v>0</v>
      </c>
      <c r="ER97" s="1">
        <v>0</v>
      </c>
      <c r="ES97" s="1">
        <v>0</v>
      </c>
      <c r="ET97" s="1">
        <v>0</v>
      </c>
      <c r="EU97" s="1">
        <v>0</v>
      </c>
      <c r="EV97" s="1">
        <v>0</v>
      </c>
      <c r="EW97" s="1">
        <v>0</v>
      </c>
      <c r="EX97" s="1">
        <v>0</v>
      </c>
      <c r="EY97" s="1">
        <v>0</v>
      </c>
      <c r="EZ97" s="1">
        <v>0</v>
      </c>
      <c r="FA97" s="1">
        <v>0</v>
      </c>
      <c r="FB97" s="1">
        <v>0</v>
      </c>
      <c r="FC97" s="1">
        <v>0</v>
      </c>
      <c r="FD97" s="1">
        <v>0</v>
      </c>
      <c r="FE97" s="1">
        <f t="shared" si="46"/>
        <v>40</v>
      </c>
      <c r="FF97" s="1">
        <f>CW157</f>
        <v>26</v>
      </c>
      <c r="FG97" s="1">
        <f t="shared" si="47"/>
        <v>0</v>
      </c>
    </row>
    <row r="98" spans="8:163" ht="15.75" thickBot="1" x14ac:dyDescent="0.3">
      <c r="H98" s="1" t="s">
        <v>31</v>
      </c>
      <c r="I98" s="1">
        <f t="shared" si="45"/>
        <v>0</v>
      </c>
      <c r="J98" s="1">
        <f t="shared" si="49"/>
        <v>0</v>
      </c>
      <c r="K98" s="1">
        <f t="shared" si="50"/>
        <v>0</v>
      </c>
      <c r="L98" s="1">
        <f t="shared" si="51"/>
        <v>0</v>
      </c>
      <c r="M98" s="1">
        <f t="shared" si="52"/>
        <v>0</v>
      </c>
      <c r="N98" s="1">
        <f t="shared" si="53"/>
        <v>0</v>
      </c>
      <c r="O98" s="1">
        <f t="shared" si="54"/>
        <v>0</v>
      </c>
      <c r="P98" s="1">
        <f t="shared" si="55"/>
        <v>0</v>
      </c>
      <c r="Q98" s="1">
        <f t="shared" si="56"/>
        <v>0</v>
      </c>
      <c r="R98" s="1">
        <f t="shared" si="57"/>
        <v>0</v>
      </c>
      <c r="S98" s="1">
        <f t="shared" si="58"/>
        <v>0</v>
      </c>
      <c r="T98" s="1">
        <f t="shared" si="59"/>
        <v>0</v>
      </c>
      <c r="U98" s="1">
        <f t="shared" si="60"/>
        <v>0</v>
      </c>
      <c r="V98" s="1">
        <f t="shared" si="61"/>
        <v>0</v>
      </c>
      <c r="W98" s="1">
        <f t="shared" si="62"/>
        <v>0</v>
      </c>
      <c r="X98" s="1">
        <f t="shared" si="63"/>
        <v>0</v>
      </c>
      <c r="Y98" s="1">
        <f t="shared" si="64"/>
        <v>0</v>
      </c>
      <c r="Z98" s="1">
        <f t="shared" si="65"/>
        <v>0</v>
      </c>
      <c r="AA98" s="1">
        <f t="shared" si="66"/>
        <v>-35</v>
      </c>
      <c r="AB98" s="1">
        <f t="shared" si="67"/>
        <v>0</v>
      </c>
      <c r="AC98" s="1">
        <f t="shared" si="68"/>
        <v>0</v>
      </c>
      <c r="AD98" s="1">
        <f t="shared" si="69"/>
        <v>0</v>
      </c>
      <c r="AE98" s="1">
        <f t="shared" si="70"/>
        <v>0</v>
      </c>
      <c r="AF98" s="1">
        <f t="shared" si="71"/>
        <v>0</v>
      </c>
      <c r="AG98" s="1">
        <f t="shared" si="72"/>
        <v>0</v>
      </c>
      <c r="AH98" s="1">
        <f t="shared" si="73"/>
        <v>0</v>
      </c>
      <c r="AI98" s="1">
        <f t="shared" si="74"/>
        <v>0</v>
      </c>
      <c r="AJ98" s="1">
        <f t="shared" si="75"/>
        <v>0</v>
      </c>
      <c r="AK98" s="1">
        <f t="shared" si="76"/>
        <v>0</v>
      </c>
      <c r="AL98" s="1">
        <f t="shared" si="77"/>
        <v>0</v>
      </c>
      <c r="AM98" s="1">
        <f t="shared" si="78"/>
        <v>0</v>
      </c>
      <c r="AN98" s="1">
        <f t="shared" si="79"/>
        <v>0</v>
      </c>
      <c r="AO98" s="1">
        <f t="shared" si="80"/>
        <v>0</v>
      </c>
      <c r="AP98" s="1">
        <f t="shared" si="81"/>
        <v>0</v>
      </c>
      <c r="AQ98" s="1">
        <f t="shared" si="82"/>
        <v>0</v>
      </c>
      <c r="AR98" s="1">
        <f t="shared" si="83"/>
        <v>0</v>
      </c>
      <c r="AS98" s="1">
        <f t="shared" si="84"/>
        <v>0</v>
      </c>
      <c r="AT98" s="1">
        <f t="shared" si="85"/>
        <v>0</v>
      </c>
      <c r="AU98" s="1">
        <f t="shared" si="86"/>
        <v>0</v>
      </c>
      <c r="AV98" s="1">
        <f t="shared" si="87"/>
        <v>0</v>
      </c>
      <c r="AW98" s="1">
        <f t="shared" si="88"/>
        <v>0</v>
      </c>
      <c r="AX98" s="1">
        <f t="shared" si="89"/>
        <v>0</v>
      </c>
      <c r="AY98" s="1">
        <f t="shared" si="90"/>
        <v>0</v>
      </c>
      <c r="AZ98" s="1">
        <f t="shared" si="91"/>
        <v>0</v>
      </c>
      <c r="BA98" s="1">
        <f t="shared" si="92"/>
        <v>0</v>
      </c>
      <c r="BB98" s="1">
        <f t="shared" si="93"/>
        <v>0</v>
      </c>
      <c r="BC98" s="1">
        <f t="shared" si="94"/>
        <v>0</v>
      </c>
      <c r="BD98" s="1">
        <f t="shared" si="95"/>
        <v>0</v>
      </c>
      <c r="BE98" s="1">
        <f t="shared" si="96"/>
        <v>0</v>
      </c>
      <c r="BF98" s="1">
        <f t="shared" si="97"/>
        <v>0</v>
      </c>
      <c r="BG98" s="1">
        <f t="shared" si="98"/>
        <v>0</v>
      </c>
      <c r="BH98" s="1">
        <f t="shared" si="99"/>
        <v>0</v>
      </c>
      <c r="BI98" s="1">
        <f t="shared" si="100"/>
        <v>0</v>
      </c>
      <c r="BJ98" s="1">
        <f t="shared" si="101"/>
        <v>0</v>
      </c>
      <c r="BK98" s="1">
        <f t="shared" si="102"/>
        <v>0</v>
      </c>
      <c r="BL98" s="1">
        <f t="shared" si="103"/>
        <v>0</v>
      </c>
      <c r="BM98" s="1">
        <f t="shared" si="104"/>
        <v>0</v>
      </c>
      <c r="BN98" s="1">
        <f t="shared" si="105"/>
        <v>0</v>
      </c>
      <c r="BO98" s="1">
        <f t="shared" si="106"/>
        <v>0</v>
      </c>
      <c r="BP98" s="1">
        <f t="shared" si="107"/>
        <v>0</v>
      </c>
      <c r="BQ98" s="1">
        <f t="shared" si="108"/>
        <v>0</v>
      </c>
      <c r="BR98" s="1">
        <f t="shared" si="109"/>
        <v>0</v>
      </c>
      <c r="BS98" s="1">
        <f t="shared" si="110"/>
        <v>0</v>
      </c>
      <c r="BT98" s="1">
        <f t="shared" si="111"/>
        <v>0</v>
      </c>
      <c r="BU98" s="1">
        <f t="shared" si="48"/>
        <v>0</v>
      </c>
      <c r="BV98" s="1">
        <f t="shared" si="44"/>
        <v>0</v>
      </c>
      <c r="BW98" s="1">
        <f t="shared" si="44"/>
        <v>0</v>
      </c>
      <c r="BX98" s="1">
        <f t="shared" si="44"/>
        <v>0</v>
      </c>
      <c r="BY98" s="1">
        <f t="shared" si="44"/>
        <v>0</v>
      </c>
      <c r="BZ98" s="1">
        <f t="shared" si="44"/>
        <v>0</v>
      </c>
      <c r="CA98" s="1">
        <f t="shared" si="44"/>
        <v>0</v>
      </c>
      <c r="CB98" s="1">
        <f t="shared" si="44"/>
        <v>0</v>
      </c>
      <c r="CC98" s="1">
        <f t="shared" si="44"/>
        <v>0</v>
      </c>
      <c r="CD98" s="1">
        <f t="shared" si="44"/>
        <v>0</v>
      </c>
      <c r="CE98" s="1"/>
      <c r="CH98" s="1" t="s">
        <v>31</v>
      </c>
      <c r="CI98" s="1">
        <v>0</v>
      </c>
      <c r="CJ98" s="1">
        <v>0</v>
      </c>
      <c r="CK98" s="1">
        <v>0</v>
      </c>
      <c r="CL98" s="1">
        <v>0</v>
      </c>
      <c r="CM98" s="1">
        <v>0</v>
      </c>
      <c r="CN98" s="1">
        <v>0</v>
      </c>
      <c r="CO98" s="1">
        <v>0</v>
      </c>
      <c r="CP98" s="1">
        <v>0</v>
      </c>
      <c r="CQ98" s="1">
        <v>0</v>
      </c>
      <c r="CR98" s="1">
        <v>0</v>
      </c>
      <c r="CS98" s="1">
        <v>0</v>
      </c>
      <c r="CT98" s="1">
        <v>0</v>
      </c>
      <c r="CU98" s="1">
        <v>0</v>
      </c>
      <c r="CV98" s="1">
        <v>0</v>
      </c>
      <c r="CW98" s="1">
        <v>0</v>
      </c>
      <c r="CX98" s="1">
        <v>0</v>
      </c>
      <c r="CY98" s="1">
        <v>0</v>
      </c>
      <c r="CZ98" s="1">
        <v>0</v>
      </c>
      <c r="DA98" s="1">
        <v>35</v>
      </c>
      <c r="DB98" s="1">
        <v>0</v>
      </c>
      <c r="DC98" s="1">
        <v>0</v>
      </c>
      <c r="DD98" s="1">
        <v>0</v>
      </c>
      <c r="DE98" s="1">
        <v>0</v>
      </c>
      <c r="DF98" s="1">
        <v>0</v>
      </c>
      <c r="DG98" s="1">
        <v>0</v>
      </c>
      <c r="DH98" s="1">
        <v>0</v>
      </c>
      <c r="DI98" s="1">
        <v>0</v>
      </c>
      <c r="DJ98" s="1">
        <v>0</v>
      </c>
      <c r="DK98" s="1">
        <v>0</v>
      </c>
      <c r="DL98" s="1">
        <v>0</v>
      </c>
      <c r="DM98" s="1">
        <v>0</v>
      </c>
      <c r="DN98" s="1">
        <v>0</v>
      </c>
      <c r="DO98" s="1">
        <v>0</v>
      </c>
      <c r="DP98" s="1">
        <v>0</v>
      </c>
      <c r="DQ98" s="1">
        <v>0</v>
      </c>
      <c r="DR98" s="1">
        <v>0</v>
      </c>
      <c r="DS98" s="1">
        <v>0</v>
      </c>
      <c r="DT98" s="1">
        <v>0</v>
      </c>
      <c r="DU98" s="1">
        <v>0</v>
      </c>
      <c r="DV98" s="1">
        <v>0</v>
      </c>
      <c r="DW98" s="1">
        <v>0</v>
      </c>
      <c r="DX98" s="1">
        <v>0</v>
      </c>
      <c r="DY98" s="1">
        <v>0</v>
      </c>
      <c r="DZ98" s="1">
        <v>0</v>
      </c>
      <c r="EA98" s="1">
        <v>0</v>
      </c>
      <c r="EB98" s="1">
        <v>0</v>
      </c>
      <c r="EC98" s="1">
        <v>0</v>
      </c>
      <c r="ED98" s="1">
        <v>0</v>
      </c>
      <c r="EE98" s="1">
        <v>0</v>
      </c>
      <c r="EF98" s="1">
        <v>0</v>
      </c>
      <c r="EG98" s="1">
        <v>0</v>
      </c>
      <c r="EH98" s="1">
        <v>0</v>
      </c>
      <c r="EI98" s="1">
        <v>0</v>
      </c>
      <c r="EJ98" s="1">
        <v>0</v>
      </c>
      <c r="EK98" s="1">
        <v>0</v>
      </c>
      <c r="EL98" s="1">
        <v>0</v>
      </c>
      <c r="EM98" s="1">
        <v>0</v>
      </c>
      <c r="EN98" s="1">
        <v>0</v>
      </c>
      <c r="EO98" s="1">
        <v>0</v>
      </c>
      <c r="EP98" s="1">
        <v>0</v>
      </c>
      <c r="EQ98" s="1">
        <v>0</v>
      </c>
      <c r="ER98" s="1">
        <v>0</v>
      </c>
      <c r="ES98" s="1">
        <v>0</v>
      </c>
      <c r="ET98" s="1">
        <v>0</v>
      </c>
      <c r="EU98" s="1">
        <v>0</v>
      </c>
      <c r="EV98" s="1">
        <v>0</v>
      </c>
      <c r="EW98" s="1">
        <v>0</v>
      </c>
      <c r="EX98" s="1">
        <v>0</v>
      </c>
      <c r="EY98" s="1">
        <v>0</v>
      </c>
      <c r="EZ98" s="1">
        <v>0</v>
      </c>
      <c r="FA98" s="1">
        <v>0</v>
      </c>
      <c r="FB98" s="1">
        <v>0</v>
      </c>
      <c r="FC98" s="1">
        <v>0</v>
      </c>
      <c r="FD98" s="1">
        <v>0</v>
      </c>
      <c r="FE98" s="1">
        <f t="shared" si="46"/>
        <v>35</v>
      </c>
      <c r="FF98" s="1">
        <f>CX157</f>
        <v>26</v>
      </c>
      <c r="FG98" s="1">
        <f t="shared" si="47"/>
        <v>0</v>
      </c>
    </row>
    <row r="99" spans="8:163" ht="15.75" thickBot="1" x14ac:dyDescent="0.3">
      <c r="H99" s="1" t="s">
        <v>32</v>
      </c>
      <c r="I99" s="1">
        <f t="shared" si="45"/>
        <v>-2</v>
      </c>
      <c r="J99" s="1">
        <f t="shared" si="49"/>
        <v>0</v>
      </c>
      <c r="K99" s="1">
        <f t="shared" si="50"/>
        <v>0</v>
      </c>
      <c r="L99" s="1">
        <f t="shared" si="51"/>
        <v>0</v>
      </c>
      <c r="M99" s="1">
        <f t="shared" si="52"/>
        <v>0</v>
      </c>
      <c r="N99" s="1">
        <f t="shared" si="53"/>
        <v>0</v>
      </c>
      <c r="O99" s="1">
        <f t="shared" si="54"/>
        <v>0</v>
      </c>
      <c r="P99" s="1">
        <f t="shared" si="55"/>
        <v>0</v>
      </c>
      <c r="Q99" s="1">
        <f t="shared" si="56"/>
        <v>0</v>
      </c>
      <c r="R99" s="1">
        <f t="shared" si="57"/>
        <v>0</v>
      </c>
      <c r="S99" s="1">
        <f t="shared" si="58"/>
        <v>0</v>
      </c>
      <c r="T99" s="1">
        <f t="shared" si="59"/>
        <v>0</v>
      </c>
      <c r="U99" s="1">
        <f t="shared" si="60"/>
        <v>0</v>
      </c>
      <c r="V99" s="1">
        <f t="shared" si="61"/>
        <v>0</v>
      </c>
      <c r="W99" s="1">
        <f t="shared" si="62"/>
        <v>0</v>
      </c>
      <c r="X99" s="1">
        <f t="shared" si="63"/>
        <v>0</v>
      </c>
      <c r="Y99" s="1">
        <f t="shared" si="64"/>
        <v>0</v>
      </c>
      <c r="Z99" s="1">
        <f t="shared" si="65"/>
        <v>0</v>
      </c>
      <c r="AA99" s="1">
        <f t="shared" si="66"/>
        <v>0</v>
      </c>
      <c r="AB99" s="1">
        <f t="shared" si="67"/>
        <v>0</v>
      </c>
      <c r="AC99" s="1">
        <f t="shared" si="68"/>
        <v>0</v>
      </c>
      <c r="AD99" s="1">
        <f t="shared" si="69"/>
        <v>0</v>
      </c>
      <c r="AE99" s="1">
        <f t="shared" si="70"/>
        <v>0</v>
      </c>
      <c r="AF99" s="1">
        <f t="shared" si="71"/>
        <v>0</v>
      </c>
      <c r="AG99" s="1">
        <f t="shared" si="72"/>
        <v>0</v>
      </c>
      <c r="AH99" s="1">
        <f t="shared" si="73"/>
        <v>0</v>
      </c>
      <c r="AI99" s="1">
        <f t="shared" si="74"/>
        <v>0</v>
      </c>
      <c r="AJ99" s="1">
        <f t="shared" si="75"/>
        <v>0</v>
      </c>
      <c r="AK99" s="1">
        <f t="shared" si="76"/>
        <v>0</v>
      </c>
      <c r="AL99" s="1">
        <f t="shared" si="77"/>
        <v>0</v>
      </c>
      <c r="AM99" s="1">
        <f t="shared" si="78"/>
        <v>0</v>
      </c>
      <c r="AN99" s="1">
        <f t="shared" si="79"/>
        <v>0</v>
      </c>
      <c r="AO99" s="1">
        <f t="shared" si="80"/>
        <v>0</v>
      </c>
      <c r="AP99" s="1">
        <f t="shared" si="81"/>
        <v>0</v>
      </c>
      <c r="AQ99" s="1">
        <f t="shared" si="82"/>
        <v>0</v>
      </c>
      <c r="AR99" s="1">
        <f t="shared" si="83"/>
        <v>0</v>
      </c>
      <c r="AS99" s="1">
        <f t="shared" si="84"/>
        <v>0</v>
      </c>
      <c r="AT99" s="1">
        <f t="shared" si="85"/>
        <v>0</v>
      </c>
      <c r="AU99" s="1">
        <f t="shared" si="86"/>
        <v>0</v>
      </c>
      <c r="AV99" s="1">
        <f t="shared" si="87"/>
        <v>0</v>
      </c>
      <c r="AW99" s="1">
        <f t="shared" si="88"/>
        <v>0</v>
      </c>
      <c r="AX99" s="1">
        <f t="shared" si="89"/>
        <v>0</v>
      </c>
      <c r="AY99" s="1">
        <f t="shared" si="90"/>
        <v>0</v>
      </c>
      <c r="AZ99" s="1">
        <f t="shared" si="91"/>
        <v>0</v>
      </c>
      <c r="BA99" s="1">
        <f t="shared" si="92"/>
        <v>0</v>
      </c>
      <c r="BB99" s="1">
        <f t="shared" si="93"/>
        <v>0</v>
      </c>
      <c r="BC99" s="1">
        <f t="shared" si="94"/>
        <v>0</v>
      </c>
      <c r="BD99" s="1">
        <f t="shared" si="95"/>
        <v>0</v>
      </c>
      <c r="BE99" s="1">
        <f t="shared" si="96"/>
        <v>0</v>
      </c>
      <c r="BF99" s="1">
        <f t="shared" si="97"/>
        <v>0</v>
      </c>
      <c r="BG99" s="1">
        <f t="shared" si="98"/>
        <v>0</v>
      </c>
      <c r="BH99" s="1">
        <f t="shared" si="99"/>
        <v>0</v>
      </c>
      <c r="BI99" s="1">
        <f t="shared" si="100"/>
        <v>0</v>
      </c>
      <c r="BJ99" s="1">
        <f t="shared" si="101"/>
        <v>0</v>
      </c>
      <c r="BK99" s="1">
        <f t="shared" si="102"/>
        <v>0</v>
      </c>
      <c r="BL99" s="1">
        <f t="shared" si="103"/>
        <v>0</v>
      </c>
      <c r="BM99" s="1">
        <f t="shared" si="104"/>
        <v>0</v>
      </c>
      <c r="BN99" s="1">
        <f t="shared" si="105"/>
        <v>0</v>
      </c>
      <c r="BO99" s="1">
        <f t="shared" si="106"/>
        <v>0</v>
      </c>
      <c r="BP99" s="1">
        <f t="shared" si="107"/>
        <v>0</v>
      </c>
      <c r="BQ99" s="1">
        <f t="shared" si="108"/>
        <v>0</v>
      </c>
      <c r="BR99" s="1">
        <f t="shared" si="109"/>
        <v>0</v>
      </c>
      <c r="BS99" s="1">
        <f t="shared" si="110"/>
        <v>0</v>
      </c>
      <c r="BT99" s="1">
        <f t="shared" si="111"/>
        <v>0</v>
      </c>
      <c r="BU99" s="1">
        <f t="shared" si="48"/>
        <v>0</v>
      </c>
      <c r="BV99" s="1">
        <f t="shared" ref="BV99:BV156" si="112">EV99-EV20*$C$2</f>
        <v>0</v>
      </c>
      <c r="BW99" s="1">
        <f t="shared" ref="BW99:BW156" si="113">EW99-EW20*$C$2</f>
        <v>0</v>
      </c>
      <c r="BX99" s="1">
        <f t="shared" ref="BX99:BX156" si="114">EX99-EX20*$C$2</f>
        <v>0</v>
      </c>
      <c r="BY99" s="1">
        <f t="shared" ref="BY99:BY156" si="115">EY99-EY20*$C$2</f>
        <v>0</v>
      </c>
      <c r="BZ99" s="1">
        <f t="shared" ref="BZ99:BZ156" si="116">EZ99-EZ20*$C$2</f>
        <v>0</v>
      </c>
      <c r="CA99" s="1">
        <f t="shared" ref="CA99:CA156" si="117">FA99-FA20*$C$2</f>
        <v>0</v>
      </c>
      <c r="CB99" s="1">
        <f t="shared" ref="CB99:CB156" si="118">FB99-FB20*$C$2</f>
        <v>0</v>
      </c>
      <c r="CC99" s="1">
        <f t="shared" ref="CC99:CC156" si="119">FC99-FC20*$C$2</f>
        <v>0</v>
      </c>
      <c r="CD99" s="1">
        <f t="shared" ref="CD99:CD156" si="120">FD99-FD20*$C$2</f>
        <v>0</v>
      </c>
      <c r="CE99" s="1"/>
      <c r="CH99" s="1" t="s">
        <v>32</v>
      </c>
      <c r="CI99" s="1">
        <v>68</v>
      </c>
      <c r="CJ99" s="1">
        <v>0</v>
      </c>
      <c r="CK99" s="1">
        <v>0</v>
      </c>
      <c r="CL99" s="1">
        <v>0</v>
      </c>
      <c r="CM99" s="1">
        <v>0</v>
      </c>
      <c r="CN99" s="1">
        <v>0</v>
      </c>
      <c r="CO99" s="1">
        <v>0</v>
      </c>
      <c r="CP99" s="1">
        <v>0</v>
      </c>
      <c r="CQ99" s="1">
        <v>0</v>
      </c>
      <c r="CR99" s="1">
        <v>0</v>
      </c>
      <c r="CS99" s="1">
        <v>0</v>
      </c>
      <c r="CT99" s="1">
        <v>0</v>
      </c>
      <c r="CU99" s="1">
        <v>0</v>
      </c>
      <c r="CV99" s="1">
        <v>0</v>
      </c>
      <c r="CW99" s="1">
        <v>0</v>
      </c>
      <c r="CX99" s="1">
        <v>0</v>
      </c>
      <c r="CY99" s="1">
        <v>0</v>
      </c>
      <c r="CZ99" s="1">
        <v>0</v>
      </c>
      <c r="DA99" s="1">
        <v>0</v>
      </c>
      <c r="DB99" s="1">
        <v>0</v>
      </c>
      <c r="DC99" s="1">
        <v>0</v>
      </c>
      <c r="DD99" s="1">
        <v>0</v>
      </c>
      <c r="DE99" s="1">
        <v>0</v>
      </c>
      <c r="DF99" s="1">
        <v>0</v>
      </c>
      <c r="DG99" s="1">
        <v>0</v>
      </c>
      <c r="DH99" s="1">
        <v>0</v>
      </c>
      <c r="DI99" s="1">
        <v>0</v>
      </c>
      <c r="DJ99" s="1">
        <v>0</v>
      </c>
      <c r="DK99" s="1">
        <v>0</v>
      </c>
      <c r="DL99" s="1">
        <v>0</v>
      </c>
      <c r="DM99" s="1">
        <v>0</v>
      </c>
      <c r="DN99" s="1">
        <v>0</v>
      </c>
      <c r="DO99" s="1">
        <v>0</v>
      </c>
      <c r="DP99" s="1">
        <v>0</v>
      </c>
      <c r="DQ99" s="1">
        <v>0</v>
      </c>
      <c r="DR99" s="1">
        <v>0</v>
      </c>
      <c r="DS99" s="1">
        <v>0</v>
      </c>
      <c r="DT99" s="1">
        <v>0</v>
      </c>
      <c r="DU99" s="1">
        <v>0</v>
      </c>
      <c r="DV99" s="1">
        <v>0</v>
      </c>
      <c r="DW99" s="1">
        <v>0</v>
      </c>
      <c r="DX99" s="1">
        <v>0</v>
      </c>
      <c r="DY99" s="1">
        <v>0</v>
      </c>
      <c r="DZ99" s="1">
        <v>0</v>
      </c>
      <c r="EA99" s="1">
        <v>0</v>
      </c>
      <c r="EB99" s="1">
        <v>0</v>
      </c>
      <c r="EC99" s="1">
        <v>0</v>
      </c>
      <c r="ED99" s="1">
        <v>0</v>
      </c>
      <c r="EE99" s="1">
        <v>0</v>
      </c>
      <c r="EF99" s="1">
        <v>0</v>
      </c>
      <c r="EG99" s="1">
        <v>0</v>
      </c>
      <c r="EH99" s="1">
        <v>0</v>
      </c>
      <c r="EI99" s="1">
        <v>0</v>
      </c>
      <c r="EJ99" s="1">
        <v>0</v>
      </c>
      <c r="EK99" s="1">
        <v>0</v>
      </c>
      <c r="EL99" s="1">
        <v>0</v>
      </c>
      <c r="EM99" s="1">
        <v>0</v>
      </c>
      <c r="EN99" s="1">
        <v>0</v>
      </c>
      <c r="EO99" s="1">
        <v>0</v>
      </c>
      <c r="EP99" s="1">
        <v>0</v>
      </c>
      <c r="EQ99" s="1">
        <v>0</v>
      </c>
      <c r="ER99" s="1">
        <v>0</v>
      </c>
      <c r="ES99" s="1">
        <v>0</v>
      </c>
      <c r="ET99" s="1">
        <v>0</v>
      </c>
      <c r="EU99" s="1">
        <v>0</v>
      </c>
      <c r="EV99" s="1">
        <v>0</v>
      </c>
      <c r="EW99" s="1">
        <v>0</v>
      </c>
      <c r="EX99" s="1">
        <v>0</v>
      </c>
      <c r="EY99" s="1">
        <v>0</v>
      </c>
      <c r="EZ99" s="1">
        <v>0</v>
      </c>
      <c r="FA99" s="1">
        <v>0</v>
      </c>
      <c r="FB99" s="1">
        <v>0</v>
      </c>
      <c r="FC99" s="1">
        <v>0</v>
      </c>
      <c r="FD99" s="1">
        <v>0</v>
      </c>
      <c r="FE99" s="1">
        <f t="shared" si="46"/>
        <v>68</v>
      </c>
      <c r="FF99" s="1">
        <f>CY157</f>
        <v>62</v>
      </c>
      <c r="FG99" s="1">
        <f t="shared" si="47"/>
        <v>0</v>
      </c>
    </row>
    <row r="100" spans="8:163" ht="15.75" thickBot="1" x14ac:dyDescent="0.3">
      <c r="H100" s="1" t="s">
        <v>33</v>
      </c>
      <c r="I100" s="1">
        <f t="shared" si="45"/>
        <v>0</v>
      </c>
      <c r="J100" s="1">
        <f t="shared" si="49"/>
        <v>0</v>
      </c>
      <c r="K100" s="1">
        <f t="shared" si="50"/>
        <v>0</v>
      </c>
      <c r="L100" s="1">
        <f t="shared" si="51"/>
        <v>0</v>
      </c>
      <c r="M100" s="1">
        <f t="shared" si="52"/>
        <v>0</v>
      </c>
      <c r="N100" s="1">
        <f t="shared" si="53"/>
        <v>0</v>
      </c>
      <c r="O100" s="1">
        <f t="shared" si="54"/>
        <v>0</v>
      </c>
      <c r="P100" s="1">
        <f t="shared" si="55"/>
        <v>0</v>
      </c>
      <c r="Q100" s="1">
        <f t="shared" si="56"/>
        <v>0</v>
      </c>
      <c r="R100" s="1">
        <f t="shared" si="57"/>
        <v>0</v>
      </c>
      <c r="S100" s="1">
        <f t="shared" si="58"/>
        <v>0</v>
      </c>
      <c r="T100" s="1">
        <f t="shared" si="59"/>
        <v>0</v>
      </c>
      <c r="U100" s="1">
        <f t="shared" si="60"/>
        <v>0</v>
      </c>
      <c r="V100" s="1">
        <f t="shared" si="61"/>
        <v>0</v>
      </c>
      <c r="W100" s="1">
        <f t="shared" si="62"/>
        <v>0</v>
      </c>
      <c r="X100" s="1">
        <f t="shared" si="63"/>
        <v>0</v>
      </c>
      <c r="Y100" s="1">
        <f t="shared" si="64"/>
        <v>0</v>
      </c>
      <c r="Z100" s="1">
        <f t="shared" si="65"/>
        <v>0</v>
      </c>
      <c r="AA100" s="1">
        <f t="shared" si="66"/>
        <v>0</v>
      </c>
      <c r="AB100" s="1">
        <f t="shared" si="67"/>
        <v>0</v>
      </c>
      <c r="AC100" s="1">
        <f t="shared" si="68"/>
        <v>0</v>
      </c>
      <c r="AD100" s="1">
        <f t="shared" si="69"/>
        <v>0</v>
      </c>
      <c r="AE100" s="1">
        <f t="shared" si="70"/>
        <v>0</v>
      </c>
      <c r="AF100" s="1">
        <f t="shared" si="71"/>
        <v>0</v>
      </c>
      <c r="AG100" s="1">
        <f t="shared" si="72"/>
        <v>0</v>
      </c>
      <c r="AH100" s="1">
        <f t="shared" si="73"/>
        <v>0</v>
      </c>
      <c r="AI100" s="1">
        <f t="shared" si="74"/>
        <v>0</v>
      </c>
      <c r="AJ100" s="1">
        <f t="shared" si="75"/>
        <v>0</v>
      </c>
      <c r="AK100" s="1">
        <f t="shared" si="76"/>
        <v>0</v>
      </c>
      <c r="AL100" s="1">
        <f t="shared" si="77"/>
        <v>0</v>
      </c>
      <c r="AM100" s="1">
        <f t="shared" si="78"/>
        <v>0</v>
      </c>
      <c r="AN100" s="1">
        <f t="shared" si="79"/>
        <v>0</v>
      </c>
      <c r="AO100" s="1">
        <f t="shared" si="80"/>
        <v>0</v>
      </c>
      <c r="AP100" s="1">
        <f t="shared" si="81"/>
        <v>0</v>
      </c>
      <c r="AQ100" s="1">
        <f t="shared" si="82"/>
        <v>0</v>
      </c>
      <c r="AR100" s="1">
        <f t="shared" si="83"/>
        <v>0</v>
      </c>
      <c r="AS100" s="1">
        <f t="shared" si="84"/>
        <v>0</v>
      </c>
      <c r="AT100" s="1">
        <f t="shared" si="85"/>
        <v>0</v>
      </c>
      <c r="AU100" s="1">
        <f t="shared" si="86"/>
        <v>0</v>
      </c>
      <c r="AV100" s="1">
        <f t="shared" si="87"/>
        <v>0</v>
      </c>
      <c r="AW100" s="1">
        <f t="shared" si="88"/>
        <v>0</v>
      </c>
      <c r="AX100" s="1">
        <f t="shared" si="89"/>
        <v>0</v>
      </c>
      <c r="AY100" s="1">
        <f t="shared" si="90"/>
        <v>0</v>
      </c>
      <c r="AZ100" s="1">
        <f t="shared" si="91"/>
        <v>0</v>
      </c>
      <c r="BA100" s="1">
        <f t="shared" si="92"/>
        <v>0</v>
      </c>
      <c r="BB100" s="1">
        <f t="shared" si="93"/>
        <v>0</v>
      </c>
      <c r="BC100" s="1">
        <f t="shared" si="94"/>
        <v>0</v>
      </c>
      <c r="BD100" s="1">
        <f t="shared" si="95"/>
        <v>0</v>
      </c>
      <c r="BE100" s="1">
        <f t="shared" si="96"/>
        <v>0</v>
      </c>
      <c r="BF100" s="1">
        <f t="shared" si="97"/>
        <v>0</v>
      </c>
      <c r="BG100" s="1">
        <f t="shared" si="98"/>
        <v>0</v>
      </c>
      <c r="BH100" s="1">
        <f t="shared" si="99"/>
        <v>0</v>
      </c>
      <c r="BI100" s="1">
        <f t="shared" si="100"/>
        <v>0</v>
      </c>
      <c r="BJ100" s="1">
        <f t="shared" si="101"/>
        <v>0</v>
      </c>
      <c r="BK100" s="1">
        <f t="shared" si="102"/>
        <v>0</v>
      </c>
      <c r="BL100" s="1">
        <f t="shared" si="103"/>
        <v>0</v>
      </c>
      <c r="BM100" s="1">
        <f t="shared" si="104"/>
        <v>0</v>
      </c>
      <c r="BN100" s="1">
        <f t="shared" si="105"/>
        <v>0</v>
      </c>
      <c r="BO100" s="1">
        <f t="shared" si="106"/>
        <v>0</v>
      </c>
      <c r="BP100" s="1">
        <f t="shared" si="107"/>
        <v>0</v>
      </c>
      <c r="BQ100" s="1">
        <f t="shared" si="108"/>
        <v>0</v>
      </c>
      <c r="BR100" s="1">
        <f t="shared" si="109"/>
        <v>0</v>
      </c>
      <c r="BS100" s="1">
        <f t="shared" si="110"/>
        <v>-66</v>
      </c>
      <c r="BT100" s="1">
        <f t="shared" si="111"/>
        <v>0</v>
      </c>
      <c r="BU100" s="1">
        <f t="shared" si="48"/>
        <v>0</v>
      </c>
      <c r="BV100" s="1">
        <f t="shared" si="112"/>
        <v>0</v>
      </c>
      <c r="BW100" s="1">
        <f t="shared" si="113"/>
        <v>0</v>
      </c>
      <c r="BX100" s="1">
        <f t="shared" si="114"/>
        <v>0</v>
      </c>
      <c r="BY100" s="1">
        <f t="shared" si="115"/>
        <v>0</v>
      </c>
      <c r="BZ100" s="1">
        <f t="shared" si="116"/>
        <v>0</v>
      </c>
      <c r="CA100" s="1">
        <f t="shared" si="117"/>
        <v>0</v>
      </c>
      <c r="CB100" s="1">
        <f t="shared" si="118"/>
        <v>0</v>
      </c>
      <c r="CC100" s="1">
        <f t="shared" si="119"/>
        <v>0</v>
      </c>
      <c r="CD100" s="1">
        <f t="shared" si="120"/>
        <v>0</v>
      </c>
      <c r="CE100" s="1"/>
      <c r="CH100" s="1" t="s">
        <v>33</v>
      </c>
      <c r="CI100" s="1">
        <v>0</v>
      </c>
      <c r="CJ100" s="1">
        <v>0</v>
      </c>
      <c r="CK100" s="1">
        <v>0</v>
      </c>
      <c r="CL100" s="1">
        <v>0</v>
      </c>
      <c r="CM100" s="1">
        <v>0</v>
      </c>
      <c r="CN100" s="1">
        <v>0</v>
      </c>
      <c r="CO100" s="1">
        <v>0</v>
      </c>
      <c r="CP100" s="1">
        <v>0</v>
      </c>
      <c r="CQ100" s="1">
        <v>0</v>
      </c>
      <c r="CR100" s="1">
        <v>0</v>
      </c>
      <c r="CS100" s="1">
        <v>0</v>
      </c>
      <c r="CT100" s="1">
        <v>0</v>
      </c>
      <c r="CU100" s="1">
        <v>0</v>
      </c>
      <c r="CV100" s="1">
        <v>0</v>
      </c>
      <c r="CW100" s="1">
        <v>0</v>
      </c>
      <c r="CX100" s="1">
        <v>0</v>
      </c>
      <c r="CY100" s="1">
        <v>0</v>
      </c>
      <c r="CZ100" s="1">
        <v>0</v>
      </c>
      <c r="DA100" s="1">
        <v>0</v>
      </c>
      <c r="DB100" s="1">
        <v>0</v>
      </c>
      <c r="DC100" s="1">
        <v>0</v>
      </c>
      <c r="DD100" s="1">
        <v>0</v>
      </c>
      <c r="DE100" s="1">
        <v>0</v>
      </c>
      <c r="DF100" s="1">
        <v>0</v>
      </c>
      <c r="DG100" s="1">
        <v>0</v>
      </c>
      <c r="DH100" s="1">
        <v>0</v>
      </c>
      <c r="DI100" s="1">
        <v>0</v>
      </c>
      <c r="DJ100" s="1">
        <v>0</v>
      </c>
      <c r="DK100" s="1">
        <v>0</v>
      </c>
      <c r="DL100" s="1">
        <v>0</v>
      </c>
      <c r="DM100" s="1">
        <v>0</v>
      </c>
      <c r="DN100" s="1">
        <v>0</v>
      </c>
      <c r="DO100" s="1">
        <v>0</v>
      </c>
      <c r="DP100" s="1">
        <v>0</v>
      </c>
      <c r="DQ100" s="1">
        <v>0</v>
      </c>
      <c r="DR100" s="1">
        <v>0</v>
      </c>
      <c r="DS100" s="1">
        <v>0</v>
      </c>
      <c r="DT100" s="1">
        <v>0</v>
      </c>
      <c r="DU100" s="1">
        <v>0</v>
      </c>
      <c r="DV100" s="1">
        <v>0</v>
      </c>
      <c r="DW100" s="1">
        <v>0</v>
      </c>
      <c r="DX100" s="1">
        <v>0</v>
      </c>
      <c r="DY100" s="1">
        <v>0</v>
      </c>
      <c r="DZ100" s="1">
        <v>0</v>
      </c>
      <c r="EA100" s="1">
        <v>0</v>
      </c>
      <c r="EB100" s="1">
        <v>0</v>
      </c>
      <c r="EC100" s="1">
        <v>0</v>
      </c>
      <c r="ED100" s="1">
        <v>0</v>
      </c>
      <c r="EE100" s="1">
        <v>0</v>
      </c>
      <c r="EF100" s="1">
        <v>0</v>
      </c>
      <c r="EG100" s="1">
        <v>0</v>
      </c>
      <c r="EH100" s="1">
        <v>0</v>
      </c>
      <c r="EI100" s="1">
        <v>0</v>
      </c>
      <c r="EJ100" s="1">
        <v>0</v>
      </c>
      <c r="EK100" s="1">
        <v>0</v>
      </c>
      <c r="EL100" s="1">
        <v>0</v>
      </c>
      <c r="EM100" s="1">
        <v>0</v>
      </c>
      <c r="EN100" s="1">
        <v>0</v>
      </c>
      <c r="EO100" s="1">
        <v>0</v>
      </c>
      <c r="EP100" s="1">
        <v>0</v>
      </c>
      <c r="EQ100" s="1">
        <v>0</v>
      </c>
      <c r="ER100" s="1">
        <v>0</v>
      </c>
      <c r="ES100" s="1">
        <v>4</v>
      </c>
      <c r="ET100" s="1">
        <v>0</v>
      </c>
      <c r="EU100" s="1">
        <v>0</v>
      </c>
      <c r="EV100" s="1">
        <v>0</v>
      </c>
      <c r="EW100" s="1">
        <v>0</v>
      </c>
      <c r="EX100" s="1">
        <v>0</v>
      </c>
      <c r="EY100" s="1">
        <v>0</v>
      </c>
      <c r="EZ100" s="1">
        <v>0</v>
      </c>
      <c r="FA100" s="1">
        <v>0</v>
      </c>
      <c r="FB100" s="1">
        <v>0</v>
      </c>
      <c r="FC100" s="1">
        <v>0</v>
      </c>
      <c r="FD100" s="1">
        <v>0</v>
      </c>
      <c r="FE100" s="1">
        <f t="shared" si="46"/>
        <v>4</v>
      </c>
      <c r="FF100" s="1">
        <f>CZ157</f>
        <v>0</v>
      </c>
      <c r="FG100" s="1">
        <f t="shared" si="47"/>
        <v>0</v>
      </c>
    </row>
    <row r="101" spans="8:163" ht="15.75" thickBot="1" x14ac:dyDescent="0.3">
      <c r="H101" s="1" t="s">
        <v>34</v>
      </c>
      <c r="I101" s="1">
        <f t="shared" si="45"/>
        <v>0</v>
      </c>
      <c r="J101" s="1">
        <f t="shared" si="49"/>
        <v>0</v>
      </c>
      <c r="K101" s="1">
        <f t="shared" si="50"/>
        <v>0</v>
      </c>
      <c r="L101" s="1">
        <f t="shared" si="51"/>
        <v>0</v>
      </c>
      <c r="M101" s="1">
        <f t="shared" si="52"/>
        <v>0</v>
      </c>
      <c r="N101" s="1">
        <f t="shared" si="53"/>
        <v>0</v>
      </c>
      <c r="O101" s="1">
        <f t="shared" si="54"/>
        <v>0</v>
      </c>
      <c r="P101" s="1">
        <f t="shared" si="55"/>
        <v>0</v>
      </c>
      <c r="Q101" s="1">
        <f t="shared" si="56"/>
        <v>0</v>
      </c>
      <c r="R101" s="1">
        <f t="shared" si="57"/>
        <v>0</v>
      </c>
      <c r="S101" s="1">
        <f t="shared" si="58"/>
        <v>0</v>
      </c>
      <c r="T101" s="1">
        <f t="shared" si="59"/>
        <v>0</v>
      </c>
      <c r="U101" s="1">
        <f t="shared" si="60"/>
        <v>0</v>
      </c>
      <c r="V101" s="1">
        <f t="shared" si="61"/>
        <v>0</v>
      </c>
      <c r="W101" s="1">
        <f t="shared" si="62"/>
        <v>0</v>
      </c>
      <c r="X101" s="1">
        <f t="shared" si="63"/>
        <v>0</v>
      </c>
      <c r="Y101" s="1">
        <f t="shared" si="64"/>
        <v>0</v>
      </c>
      <c r="Z101" s="1">
        <f t="shared" si="65"/>
        <v>0</v>
      </c>
      <c r="AA101" s="1">
        <f t="shared" si="66"/>
        <v>0</v>
      </c>
      <c r="AB101" s="1">
        <f t="shared" si="67"/>
        <v>0</v>
      </c>
      <c r="AC101" s="1">
        <f t="shared" si="68"/>
        <v>0</v>
      </c>
      <c r="AD101" s="1">
        <f t="shared" si="69"/>
        <v>0</v>
      </c>
      <c r="AE101" s="1">
        <f t="shared" si="70"/>
        <v>0</v>
      </c>
      <c r="AF101" s="1">
        <f t="shared" si="71"/>
        <v>0</v>
      </c>
      <c r="AG101" s="1">
        <f t="shared" si="72"/>
        <v>0</v>
      </c>
      <c r="AH101" s="1">
        <f t="shared" si="73"/>
        <v>0</v>
      </c>
      <c r="AI101" s="1">
        <f t="shared" si="74"/>
        <v>0</v>
      </c>
      <c r="AJ101" s="1">
        <f t="shared" si="75"/>
        <v>0</v>
      </c>
      <c r="AK101" s="1">
        <f t="shared" si="76"/>
        <v>0</v>
      </c>
      <c r="AL101" s="1">
        <f t="shared" si="77"/>
        <v>0</v>
      </c>
      <c r="AM101" s="1">
        <f t="shared" si="78"/>
        <v>0</v>
      </c>
      <c r="AN101" s="1">
        <f t="shared" si="79"/>
        <v>0</v>
      </c>
      <c r="AO101" s="1">
        <f t="shared" si="80"/>
        <v>0</v>
      </c>
      <c r="AP101" s="1">
        <f t="shared" si="81"/>
        <v>0</v>
      </c>
      <c r="AQ101" s="1">
        <f t="shared" si="82"/>
        <v>0</v>
      </c>
      <c r="AR101" s="1">
        <f t="shared" si="83"/>
        <v>0</v>
      </c>
      <c r="AS101" s="1">
        <f t="shared" si="84"/>
        <v>0</v>
      </c>
      <c r="AT101" s="1">
        <f t="shared" si="85"/>
        <v>0</v>
      </c>
      <c r="AU101" s="1">
        <f t="shared" si="86"/>
        <v>0</v>
      </c>
      <c r="AV101" s="1">
        <f t="shared" si="87"/>
        <v>0</v>
      </c>
      <c r="AW101" s="1">
        <f t="shared" si="88"/>
        <v>0</v>
      </c>
      <c r="AX101" s="1">
        <f t="shared" si="89"/>
        <v>0</v>
      </c>
      <c r="AY101" s="1">
        <f t="shared" si="90"/>
        <v>0</v>
      </c>
      <c r="AZ101" s="1">
        <f t="shared" si="91"/>
        <v>0</v>
      </c>
      <c r="BA101" s="1">
        <f t="shared" si="92"/>
        <v>0</v>
      </c>
      <c r="BB101" s="1">
        <f t="shared" si="93"/>
        <v>0</v>
      </c>
      <c r="BC101" s="1">
        <f t="shared" si="94"/>
        <v>0</v>
      </c>
      <c r="BD101" s="1">
        <f t="shared" si="95"/>
        <v>0</v>
      </c>
      <c r="BE101" s="1">
        <f t="shared" si="96"/>
        <v>0</v>
      </c>
      <c r="BF101" s="1">
        <f t="shared" si="97"/>
        <v>0</v>
      </c>
      <c r="BG101" s="1">
        <f t="shared" si="98"/>
        <v>0</v>
      </c>
      <c r="BH101" s="1">
        <f t="shared" si="99"/>
        <v>0</v>
      </c>
      <c r="BI101" s="1">
        <f t="shared" si="100"/>
        <v>0</v>
      </c>
      <c r="BJ101" s="1">
        <f t="shared" si="101"/>
        <v>0</v>
      </c>
      <c r="BK101" s="1">
        <f t="shared" si="102"/>
        <v>0</v>
      </c>
      <c r="BL101" s="1">
        <f t="shared" si="103"/>
        <v>0</v>
      </c>
      <c r="BM101" s="1">
        <f t="shared" si="104"/>
        <v>0</v>
      </c>
      <c r="BN101" s="1">
        <f t="shared" si="105"/>
        <v>0</v>
      </c>
      <c r="BO101" s="1">
        <f t="shared" si="106"/>
        <v>0</v>
      </c>
      <c r="BP101" s="1">
        <f t="shared" si="107"/>
        <v>0</v>
      </c>
      <c r="BQ101" s="1">
        <f t="shared" si="108"/>
        <v>0</v>
      </c>
      <c r="BR101" s="1">
        <f t="shared" si="109"/>
        <v>0</v>
      </c>
      <c r="BS101" s="1">
        <f t="shared" si="110"/>
        <v>0</v>
      </c>
      <c r="BT101" s="1">
        <f t="shared" si="111"/>
        <v>0</v>
      </c>
      <c r="BU101" s="1">
        <f t="shared" si="48"/>
        <v>0</v>
      </c>
      <c r="BV101" s="1">
        <f t="shared" si="112"/>
        <v>0</v>
      </c>
      <c r="BW101" s="1">
        <f t="shared" si="113"/>
        <v>0</v>
      </c>
      <c r="BX101" s="1">
        <f t="shared" si="114"/>
        <v>-32</v>
      </c>
      <c r="BY101" s="1">
        <f t="shared" si="115"/>
        <v>0</v>
      </c>
      <c r="BZ101" s="1">
        <f t="shared" si="116"/>
        <v>0</v>
      </c>
      <c r="CA101" s="1">
        <f t="shared" si="117"/>
        <v>0</v>
      </c>
      <c r="CB101" s="1">
        <f t="shared" si="118"/>
        <v>0</v>
      </c>
      <c r="CC101" s="1">
        <f t="shared" si="119"/>
        <v>0</v>
      </c>
      <c r="CD101" s="1">
        <f t="shared" si="120"/>
        <v>0</v>
      </c>
      <c r="CE101" s="1"/>
      <c r="CH101" s="1" t="s">
        <v>34</v>
      </c>
      <c r="CI101" s="1">
        <v>0</v>
      </c>
      <c r="CJ101" s="1">
        <v>0</v>
      </c>
      <c r="CK101" s="1">
        <v>0</v>
      </c>
      <c r="CL101" s="1">
        <v>0</v>
      </c>
      <c r="CM101" s="1">
        <v>0</v>
      </c>
      <c r="CN101" s="1">
        <v>0</v>
      </c>
      <c r="CO101" s="1">
        <v>0</v>
      </c>
      <c r="CP101" s="1">
        <v>0</v>
      </c>
      <c r="CQ101" s="1">
        <v>0</v>
      </c>
      <c r="CR101" s="1">
        <v>0</v>
      </c>
      <c r="CS101" s="1">
        <v>0</v>
      </c>
      <c r="CT101" s="1">
        <v>0</v>
      </c>
      <c r="CU101" s="1">
        <v>0</v>
      </c>
      <c r="CV101" s="1">
        <v>0</v>
      </c>
      <c r="CW101" s="1">
        <v>0</v>
      </c>
      <c r="CX101" s="1">
        <v>0</v>
      </c>
      <c r="CY101" s="1">
        <v>0</v>
      </c>
      <c r="CZ101" s="1">
        <v>0</v>
      </c>
      <c r="DA101" s="1">
        <v>0</v>
      </c>
      <c r="DB101" s="1">
        <v>0</v>
      </c>
      <c r="DC101" s="1">
        <v>0</v>
      </c>
      <c r="DD101" s="1">
        <v>0</v>
      </c>
      <c r="DE101" s="1">
        <v>0</v>
      </c>
      <c r="DF101" s="1">
        <v>0</v>
      </c>
      <c r="DG101" s="1">
        <v>0</v>
      </c>
      <c r="DH101" s="1">
        <v>0</v>
      </c>
      <c r="DI101" s="1">
        <v>0</v>
      </c>
      <c r="DJ101" s="1">
        <v>0</v>
      </c>
      <c r="DK101" s="1">
        <v>0</v>
      </c>
      <c r="DL101" s="1">
        <v>0</v>
      </c>
      <c r="DM101" s="1">
        <v>0</v>
      </c>
      <c r="DN101" s="1">
        <v>0</v>
      </c>
      <c r="DO101" s="1">
        <v>0</v>
      </c>
      <c r="DP101" s="1">
        <v>0</v>
      </c>
      <c r="DQ101" s="1">
        <v>0</v>
      </c>
      <c r="DR101" s="1">
        <v>0</v>
      </c>
      <c r="DS101" s="1">
        <v>0</v>
      </c>
      <c r="DT101" s="1">
        <v>0</v>
      </c>
      <c r="DU101" s="1">
        <v>0</v>
      </c>
      <c r="DV101" s="1">
        <v>0</v>
      </c>
      <c r="DW101" s="1">
        <v>0</v>
      </c>
      <c r="DX101" s="1">
        <v>0</v>
      </c>
      <c r="DY101" s="1">
        <v>0</v>
      </c>
      <c r="DZ101" s="1">
        <v>0</v>
      </c>
      <c r="EA101" s="1">
        <v>0</v>
      </c>
      <c r="EB101" s="1">
        <v>0</v>
      </c>
      <c r="EC101" s="1">
        <v>0</v>
      </c>
      <c r="ED101" s="1">
        <v>0</v>
      </c>
      <c r="EE101" s="1">
        <v>0</v>
      </c>
      <c r="EF101" s="1">
        <v>0</v>
      </c>
      <c r="EG101" s="1">
        <v>0</v>
      </c>
      <c r="EH101" s="1">
        <v>0</v>
      </c>
      <c r="EI101" s="1">
        <v>0</v>
      </c>
      <c r="EJ101" s="1">
        <v>0</v>
      </c>
      <c r="EK101" s="1">
        <v>0</v>
      </c>
      <c r="EL101" s="1">
        <v>0</v>
      </c>
      <c r="EM101" s="1">
        <v>0</v>
      </c>
      <c r="EN101" s="1">
        <v>0</v>
      </c>
      <c r="EO101" s="1">
        <v>0</v>
      </c>
      <c r="EP101" s="1">
        <v>0</v>
      </c>
      <c r="EQ101" s="1">
        <v>0</v>
      </c>
      <c r="ER101" s="1">
        <v>0</v>
      </c>
      <c r="ES101" s="1">
        <v>0</v>
      </c>
      <c r="ET101" s="1">
        <v>0</v>
      </c>
      <c r="EU101" s="1">
        <v>0</v>
      </c>
      <c r="EV101" s="1">
        <v>0</v>
      </c>
      <c r="EW101" s="1">
        <v>0</v>
      </c>
      <c r="EX101" s="1">
        <v>38</v>
      </c>
      <c r="EY101" s="1">
        <v>0</v>
      </c>
      <c r="EZ101" s="1">
        <v>0</v>
      </c>
      <c r="FA101" s="1">
        <v>0</v>
      </c>
      <c r="FB101" s="1">
        <v>0</v>
      </c>
      <c r="FC101" s="1">
        <v>0</v>
      </c>
      <c r="FD101" s="1">
        <v>0</v>
      </c>
      <c r="FE101" s="1">
        <f t="shared" si="46"/>
        <v>38</v>
      </c>
      <c r="FF101" s="1">
        <f>DA157</f>
        <v>35</v>
      </c>
      <c r="FG101" s="1">
        <f t="shared" si="47"/>
        <v>0</v>
      </c>
    </row>
    <row r="102" spans="8:163" ht="15.75" thickBot="1" x14ac:dyDescent="0.3">
      <c r="H102" s="1" t="s">
        <v>35</v>
      </c>
      <c r="I102" s="1">
        <f t="shared" si="45"/>
        <v>-2</v>
      </c>
      <c r="J102" s="1">
        <f t="shared" si="49"/>
        <v>0</v>
      </c>
      <c r="K102" s="1">
        <f t="shared" si="50"/>
        <v>0</v>
      </c>
      <c r="L102" s="1">
        <f t="shared" si="51"/>
        <v>0</v>
      </c>
      <c r="M102" s="1">
        <f t="shared" si="52"/>
        <v>0</v>
      </c>
      <c r="N102" s="1">
        <f t="shared" si="53"/>
        <v>0</v>
      </c>
      <c r="O102" s="1">
        <f t="shared" si="54"/>
        <v>0</v>
      </c>
      <c r="P102" s="1">
        <f t="shared" si="55"/>
        <v>0</v>
      </c>
      <c r="Q102" s="1">
        <f t="shared" si="56"/>
        <v>0</v>
      </c>
      <c r="R102" s="1">
        <f t="shared" si="57"/>
        <v>0</v>
      </c>
      <c r="S102" s="1">
        <f t="shared" si="58"/>
        <v>0</v>
      </c>
      <c r="T102" s="1">
        <f t="shared" si="59"/>
        <v>0</v>
      </c>
      <c r="U102" s="1">
        <f t="shared" si="60"/>
        <v>0</v>
      </c>
      <c r="V102" s="1">
        <f t="shared" si="61"/>
        <v>0</v>
      </c>
      <c r="W102" s="1">
        <f t="shared" si="62"/>
        <v>0</v>
      </c>
      <c r="X102" s="1">
        <f t="shared" si="63"/>
        <v>0</v>
      </c>
      <c r="Y102" s="1">
        <f t="shared" si="64"/>
        <v>0</v>
      </c>
      <c r="Z102" s="1">
        <f t="shared" si="65"/>
        <v>0</v>
      </c>
      <c r="AA102" s="1">
        <f t="shared" si="66"/>
        <v>0</v>
      </c>
      <c r="AB102" s="1">
        <f t="shared" si="67"/>
        <v>0</v>
      </c>
      <c r="AC102" s="1">
        <f t="shared" si="68"/>
        <v>0</v>
      </c>
      <c r="AD102" s="1">
        <f t="shared" si="69"/>
        <v>0</v>
      </c>
      <c r="AE102" s="1">
        <f t="shared" si="70"/>
        <v>0</v>
      </c>
      <c r="AF102" s="1">
        <f t="shared" si="71"/>
        <v>0</v>
      </c>
      <c r="AG102" s="1">
        <f t="shared" si="72"/>
        <v>0</v>
      </c>
      <c r="AH102" s="1">
        <f t="shared" si="73"/>
        <v>0</v>
      </c>
      <c r="AI102" s="1">
        <f t="shared" si="74"/>
        <v>0</v>
      </c>
      <c r="AJ102" s="1">
        <f t="shared" si="75"/>
        <v>0</v>
      </c>
      <c r="AK102" s="1">
        <f t="shared" si="76"/>
        <v>0</v>
      </c>
      <c r="AL102" s="1">
        <f t="shared" si="77"/>
        <v>0</v>
      </c>
      <c r="AM102" s="1">
        <f t="shared" si="78"/>
        <v>0</v>
      </c>
      <c r="AN102" s="1">
        <f t="shared" si="79"/>
        <v>0</v>
      </c>
      <c r="AO102" s="1">
        <f t="shared" si="80"/>
        <v>0</v>
      </c>
      <c r="AP102" s="1">
        <f t="shared" si="81"/>
        <v>0</v>
      </c>
      <c r="AQ102" s="1">
        <f t="shared" si="82"/>
        <v>0</v>
      </c>
      <c r="AR102" s="1">
        <f t="shared" si="83"/>
        <v>0</v>
      </c>
      <c r="AS102" s="1">
        <f t="shared" si="84"/>
        <v>0</v>
      </c>
      <c r="AT102" s="1">
        <f t="shared" si="85"/>
        <v>0</v>
      </c>
      <c r="AU102" s="1">
        <f t="shared" si="86"/>
        <v>0</v>
      </c>
      <c r="AV102" s="1">
        <f t="shared" si="87"/>
        <v>0</v>
      </c>
      <c r="AW102" s="1">
        <f t="shared" si="88"/>
        <v>0</v>
      </c>
      <c r="AX102" s="1">
        <f t="shared" si="89"/>
        <v>0</v>
      </c>
      <c r="AY102" s="1">
        <f t="shared" si="90"/>
        <v>0</v>
      </c>
      <c r="AZ102" s="1">
        <f t="shared" si="91"/>
        <v>0</v>
      </c>
      <c r="BA102" s="1">
        <f t="shared" si="92"/>
        <v>0</v>
      </c>
      <c r="BB102" s="1">
        <f t="shared" si="93"/>
        <v>0</v>
      </c>
      <c r="BC102" s="1">
        <f t="shared" si="94"/>
        <v>0</v>
      </c>
      <c r="BD102" s="1">
        <f t="shared" si="95"/>
        <v>0</v>
      </c>
      <c r="BE102" s="1">
        <f t="shared" si="96"/>
        <v>0</v>
      </c>
      <c r="BF102" s="1">
        <f t="shared" si="97"/>
        <v>0</v>
      </c>
      <c r="BG102" s="1">
        <f t="shared" si="98"/>
        <v>0</v>
      </c>
      <c r="BH102" s="1">
        <f t="shared" si="99"/>
        <v>0</v>
      </c>
      <c r="BI102" s="1">
        <f t="shared" si="100"/>
        <v>0</v>
      </c>
      <c r="BJ102" s="1">
        <f t="shared" si="101"/>
        <v>0</v>
      </c>
      <c r="BK102" s="1">
        <f t="shared" si="102"/>
        <v>0</v>
      </c>
      <c r="BL102" s="1">
        <f t="shared" si="103"/>
        <v>0</v>
      </c>
      <c r="BM102" s="1">
        <f t="shared" si="104"/>
        <v>0</v>
      </c>
      <c r="BN102" s="1">
        <f t="shared" si="105"/>
        <v>0</v>
      </c>
      <c r="BO102" s="1">
        <f t="shared" si="106"/>
        <v>0</v>
      </c>
      <c r="BP102" s="1">
        <f t="shared" si="107"/>
        <v>0</v>
      </c>
      <c r="BQ102" s="1">
        <f t="shared" si="108"/>
        <v>0</v>
      </c>
      <c r="BR102" s="1">
        <f t="shared" si="109"/>
        <v>0</v>
      </c>
      <c r="BS102" s="1">
        <f t="shared" si="110"/>
        <v>0</v>
      </c>
      <c r="BT102" s="1">
        <f t="shared" si="111"/>
        <v>0</v>
      </c>
      <c r="BU102" s="1">
        <f t="shared" si="48"/>
        <v>0</v>
      </c>
      <c r="BV102" s="1">
        <f t="shared" si="112"/>
        <v>0</v>
      </c>
      <c r="BW102" s="1">
        <f t="shared" si="113"/>
        <v>0</v>
      </c>
      <c r="BX102" s="1">
        <f t="shared" si="114"/>
        <v>0</v>
      </c>
      <c r="BY102" s="1">
        <f t="shared" si="115"/>
        <v>0</v>
      </c>
      <c r="BZ102" s="1">
        <f t="shared" si="116"/>
        <v>0</v>
      </c>
      <c r="CA102" s="1">
        <f t="shared" si="117"/>
        <v>0</v>
      </c>
      <c r="CB102" s="1">
        <f t="shared" si="118"/>
        <v>0</v>
      </c>
      <c r="CC102" s="1">
        <f t="shared" si="119"/>
        <v>0</v>
      </c>
      <c r="CD102" s="1">
        <f t="shared" si="120"/>
        <v>0</v>
      </c>
      <c r="CE102" s="1"/>
      <c r="CH102" s="1" t="s">
        <v>35</v>
      </c>
      <c r="CI102" s="1">
        <v>68</v>
      </c>
      <c r="CJ102" s="1">
        <v>0</v>
      </c>
      <c r="CK102" s="1">
        <v>0</v>
      </c>
      <c r="CL102" s="1">
        <v>0</v>
      </c>
      <c r="CM102" s="1">
        <v>0</v>
      </c>
      <c r="CN102" s="1">
        <v>0</v>
      </c>
      <c r="CO102" s="1">
        <v>0</v>
      </c>
      <c r="CP102" s="1">
        <v>0</v>
      </c>
      <c r="CQ102" s="1">
        <v>0</v>
      </c>
      <c r="CR102" s="1">
        <v>0</v>
      </c>
      <c r="CS102" s="1">
        <v>0</v>
      </c>
      <c r="CT102" s="1">
        <v>0</v>
      </c>
      <c r="CU102" s="1">
        <v>0</v>
      </c>
      <c r="CV102" s="1">
        <v>0</v>
      </c>
      <c r="CW102" s="1">
        <v>0</v>
      </c>
      <c r="CX102" s="1">
        <v>0</v>
      </c>
      <c r="CY102" s="1">
        <v>0</v>
      </c>
      <c r="CZ102" s="1">
        <v>0</v>
      </c>
      <c r="DA102" s="1">
        <v>0</v>
      </c>
      <c r="DB102" s="1">
        <v>0</v>
      </c>
      <c r="DC102" s="1">
        <v>0</v>
      </c>
      <c r="DD102" s="1">
        <v>0</v>
      </c>
      <c r="DE102" s="1">
        <v>0</v>
      </c>
      <c r="DF102" s="1">
        <v>0</v>
      </c>
      <c r="DG102" s="1">
        <v>0</v>
      </c>
      <c r="DH102" s="1">
        <v>0</v>
      </c>
      <c r="DI102" s="1">
        <v>0</v>
      </c>
      <c r="DJ102" s="1">
        <v>0</v>
      </c>
      <c r="DK102" s="1">
        <v>0</v>
      </c>
      <c r="DL102" s="1">
        <v>0</v>
      </c>
      <c r="DM102" s="1">
        <v>0</v>
      </c>
      <c r="DN102" s="1">
        <v>0</v>
      </c>
      <c r="DO102" s="1">
        <v>0</v>
      </c>
      <c r="DP102" s="1">
        <v>0</v>
      </c>
      <c r="DQ102" s="1">
        <v>0</v>
      </c>
      <c r="DR102" s="1">
        <v>0</v>
      </c>
      <c r="DS102" s="1">
        <v>0</v>
      </c>
      <c r="DT102" s="1">
        <v>0</v>
      </c>
      <c r="DU102" s="1">
        <v>0</v>
      </c>
      <c r="DV102" s="1">
        <v>0</v>
      </c>
      <c r="DW102" s="1">
        <v>0</v>
      </c>
      <c r="DX102" s="1">
        <v>0</v>
      </c>
      <c r="DY102" s="1">
        <v>0</v>
      </c>
      <c r="DZ102" s="1">
        <v>0</v>
      </c>
      <c r="EA102" s="1">
        <v>0</v>
      </c>
      <c r="EB102" s="1">
        <v>0</v>
      </c>
      <c r="EC102" s="1">
        <v>0</v>
      </c>
      <c r="ED102" s="1">
        <v>0</v>
      </c>
      <c r="EE102" s="1">
        <v>0</v>
      </c>
      <c r="EF102" s="1">
        <v>0</v>
      </c>
      <c r="EG102" s="1">
        <v>0</v>
      </c>
      <c r="EH102" s="1">
        <v>0</v>
      </c>
      <c r="EI102" s="1">
        <v>0</v>
      </c>
      <c r="EJ102" s="1">
        <v>0</v>
      </c>
      <c r="EK102" s="1">
        <v>0</v>
      </c>
      <c r="EL102" s="1">
        <v>0</v>
      </c>
      <c r="EM102" s="1">
        <v>0</v>
      </c>
      <c r="EN102" s="1">
        <v>0</v>
      </c>
      <c r="EO102" s="1">
        <v>0</v>
      </c>
      <c r="EP102" s="1">
        <v>0</v>
      </c>
      <c r="EQ102" s="1">
        <v>0</v>
      </c>
      <c r="ER102" s="1">
        <v>0</v>
      </c>
      <c r="ES102" s="1">
        <v>0</v>
      </c>
      <c r="ET102" s="1">
        <v>0</v>
      </c>
      <c r="EU102" s="1">
        <v>0</v>
      </c>
      <c r="EV102" s="1">
        <v>0</v>
      </c>
      <c r="EW102" s="1">
        <v>0</v>
      </c>
      <c r="EX102" s="1">
        <v>0</v>
      </c>
      <c r="EY102" s="1">
        <v>0</v>
      </c>
      <c r="EZ102" s="1">
        <v>0</v>
      </c>
      <c r="FA102" s="1">
        <v>0</v>
      </c>
      <c r="FB102" s="1">
        <v>0</v>
      </c>
      <c r="FC102" s="1">
        <v>0</v>
      </c>
      <c r="FD102" s="1">
        <v>0</v>
      </c>
      <c r="FE102" s="1">
        <f t="shared" si="46"/>
        <v>68</v>
      </c>
      <c r="FF102" s="1">
        <f>DB157</f>
        <v>59</v>
      </c>
      <c r="FG102" s="1">
        <f t="shared" si="47"/>
        <v>0</v>
      </c>
    </row>
    <row r="103" spans="8:163" ht="15.75" thickBot="1" x14ac:dyDescent="0.3">
      <c r="H103" s="1" t="s">
        <v>36</v>
      </c>
      <c r="I103" s="1">
        <f t="shared" si="45"/>
        <v>0</v>
      </c>
      <c r="J103" s="1">
        <f t="shared" si="49"/>
        <v>0</v>
      </c>
      <c r="K103" s="1">
        <f t="shared" si="50"/>
        <v>0</v>
      </c>
      <c r="L103" s="1">
        <f t="shared" si="51"/>
        <v>0</v>
      </c>
      <c r="M103" s="1">
        <f t="shared" si="52"/>
        <v>0</v>
      </c>
      <c r="N103" s="1">
        <f t="shared" si="53"/>
        <v>0</v>
      </c>
      <c r="O103" s="1">
        <f t="shared" si="54"/>
        <v>0</v>
      </c>
      <c r="P103" s="1">
        <f t="shared" si="55"/>
        <v>0</v>
      </c>
      <c r="Q103" s="1">
        <f t="shared" si="56"/>
        <v>0</v>
      </c>
      <c r="R103" s="1">
        <f t="shared" si="57"/>
        <v>0</v>
      </c>
      <c r="S103" s="1">
        <f t="shared" si="58"/>
        <v>0</v>
      </c>
      <c r="T103" s="1">
        <f t="shared" si="59"/>
        <v>0</v>
      </c>
      <c r="U103" s="1">
        <f t="shared" si="60"/>
        <v>0</v>
      </c>
      <c r="V103" s="1">
        <f t="shared" si="61"/>
        <v>0</v>
      </c>
      <c r="W103" s="1">
        <f t="shared" si="62"/>
        <v>0</v>
      </c>
      <c r="X103" s="1">
        <f t="shared" si="63"/>
        <v>0</v>
      </c>
      <c r="Y103" s="1">
        <f t="shared" si="64"/>
        <v>0</v>
      </c>
      <c r="Z103" s="1">
        <f t="shared" si="65"/>
        <v>0</v>
      </c>
      <c r="AA103" s="1">
        <f t="shared" si="66"/>
        <v>0</v>
      </c>
      <c r="AB103" s="1">
        <f t="shared" si="67"/>
        <v>0</v>
      </c>
      <c r="AC103" s="1">
        <f t="shared" si="68"/>
        <v>0</v>
      </c>
      <c r="AD103" s="1">
        <f t="shared" si="69"/>
        <v>0</v>
      </c>
      <c r="AE103" s="1">
        <f t="shared" si="70"/>
        <v>0</v>
      </c>
      <c r="AF103" s="1">
        <f t="shared" si="71"/>
        <v>-56</v>
      </c>
      <c r="AG103" s="1">
        <f t="shared" si="72"/>
        <v>0</v>
      </c>
      <c r="AH103" s="1">
        <f t="shared" si="73"/>
        <v>0</v>
      </c>
      <c r="AI103" s="1">
        <f t="shared" si="74"/>
        <v>0</v>
      </c>
      <c r="AJ103" s="1">
        <f t="shared" si="75"/>
        <v>0</v>
      </c>
      <c r="AK103" s="1">
        <f t="shared" si="76"/>
        <v>0</v>
      </c>
      <c r="AL103" s="1">
        <f t="shared" si="77"/>
        <v>0</v>
      </c>
      <c r="AM103" s="1">
        <f t="shared" si="78"/>
        <v>0</v>
      </c>
      <c r="AN103" s="1">
        <f t="shared" si="79"/>
        <v>0</v>
      </c>
      <c r="AO103" s="1">
        <f t="shared" si="80"/>
        <v>0</v>
      </c>
      <c r="AP103" s="1">
        <f t="shared" si="81"/>
        <v>0</v>
      </c>
      <c r="AQ103" s="1">
        <f t="shared" si="82"/>
        <v>0</v>
      </c>
      <c r="AR103" s="1">
        <f t="shared" si="83"/>
        <v>0</v>
      </c>
      <c r="AS103" s="1">
        <f t="shared" si="84"/>
        <v>0</v>
      </c>
      <c r="AT103" s="1">
        <f t="shared" si="85"/>
        <v>0</v>
      </c>
      <c r="AU103" s="1">
        <f t="shared" si="86"/>
        <v>0</v>
      </c>
      <c r="AV103" s="1">
        <f t="shared" si="87"/>
        <v>0</v>
      </c>
      <c r="AW103" s="1">
        <f t="shared" si="88"/>
        <v>0</v>
      </c>
      <c r="AX103" s="1">
        <f t="shared" si="89"/>
        <v>0</v>
      </c>
      <c r="AY103" s="1">
        <f t="shared" si="90"/>
        <v>0</v>
      </c>
      <c r="AZ103" s="1">
        <f t="shared" si="91"/>
        <v>0</v>
      </c>
      <c r="BA103" s="1">
        <f t="shared" si="92"/>
        <v>0</v>
      </c>
      <c r="BB103" s="1">
        <f t="shared" si="93"/>
        <v>0</v>
      </c>
      <c r="BC103" s="1">
        <f t="shared" si="94"/>
        <v>0</v>
      </c>
      <c r="BD103" s="1">
        <f t="shared" si="95"/>
        <v>0</v>
      </c>
      <c r="BE103" s="1">
        <f t="shared" si="96"/>
        <v>0</v>
      </c>
      <c r="BF103" s="1">
        <f t="shared" si="97"/>
        <v>0</v>
      </c>
      <c r="BG103" s="1">
        <f t="shared" si="98"/>
        <v>0</v>
      </c>
      <c r="BH103" s="1">
        <f t="shared" si="99"/>
        <v>0</v>
      </c>
      <c r="BI103" s="1">
        <f t="shared" si="100"/>
        <v>0</v>
      </c>
      <c r="BJ103" s="1">
        <f t="shared" si="101"/>
        <v>0</v>
      </c>
      <c r="BK103" s="1">
        <f t="shared" si="102"/>
        <v>0</v>
      </c>
      <c r="BL103" s="1">
        <f t="shared" si="103"/>
        <v>0</v>
      </c>
      <c r="BM103" s="1">
        <f t="shared" si="104"/>
        <v>0</v>
      </c>
      <c r="BN103" s="1">
        <f t="shared" si="105"/>
        <v>0</v>
      </c>
      <c r="BO103" s="1">
        <f t="shared" si="106"/>
        <v>0</v>
      </c>
      <c r="BP103" s="1">
        <f t="shared" si="107"/>
        <v>0</v>
      </c>
      <c r="BQ103" s="1">
        <f t="shared" si="108"/>
        <v>0</v>
      </c>
      <c r="BR103" s="1">
        <f t="shared" si="109"/>
        <v>0</v>
      </c>
      <c r="BS103" s="1">
        <f t="shared" si="110"/>
        <v>0</v>
      </c>
      <c r="BT103" s="1">
        <f t="shared" si="111"/>
        <v>0</v>
      </c>
      <c r="BU103" s="1">
        <f t="shared" si="48"/>
        <v>0</v>
      </c>
      <c r="BV103" s="1">
        <f t="shared" si="112"/>
        <v>0</v>
      </c>
      <c r="BW103" s="1">
        <f t="shared" si="113"/>
        <v>0</v>
      </c>
      <c r="BX103" s="1">
        <f t="shared" si="114"/>
        <v>0</v>
      </c>
      <c r="BY103" s="1">
        <f t="shared" si="115"/>
        <v>0</v>
      </c>
      <c r="BZ103" s="1">
        <f t="shared" si="116"/>
        <v>0</v>
      </c>
      <c r="CA103" s="1">
        <f t="shared" si="117"/>
        <v>0</v>
      </c>
      <c r="CB103" s="1">
        <f t="shared" si="118"/>
        <v>0</v>
      </c>
      <c r="CC103" s="1">
        <f t="shared" si="119"/>
        <v>0</v>
      </c>
      <c r="CD103" s="1">
        <f t="shared" si="120"/>
        <v>0</v>
      </c>
      <c r="CE103" s="1"/>
      <c r="CH103" s="1" t="s">
        <v>36</v>
      </c>
      <c r="CI103" s="1">
        <v>0</v>
      </c>
      <c r="CJ103" s="1">
        <v>0</v>
      </c>
      <c r="CK103" s="1">
        <v>0</v>
      </c>
      <c r="CL103" s="1">
        <v>0</v>
      </c>
      <c r="CM103" s="1">
        <v>0</v>
      </c>
      <c r="CN103" s="1">
        <v>0</v>
      </c>
      <c r="CO103" s="1">
        <v>0</v>
      </c>
      <c r="CP103" s="1">
        <v>0</v>
      </c>
      <c r="CQ103" s="1">
        <v>0</v>
      </c>
      <c r="CR103" s="1">
        <v>0</v>
      </c>
      <c r="CS103" s="1">
        <v>0</v>
      </c>
      <c r="CT103" s="1">
        <v>0</v>
      </c>
      <c r="CU103" s="1">
        <v>0</v>
      </c>
      <c r="CV103" s="1">
        <v>0</v>
      </c>
      <c r="CW103" s="1">
        <v>0</v>
      </c>
      <c r="CX103" s="1">
        <v>0</v>
      </c>
      <c r="CY103" s="1">
        <v>0</v>
      </c>
      <c r="CZ103" s="1">
        <v>0</v>
      </c>
      <c r="DA103" s="1">
        <v>0</v>
      </c>
      <c r="DB103" s="1">
        <v>0</v>
      </c>
      <c r="DC103" s="1">
        <v>0</v>
      </c>
      <c r="DD103" s="1">
        <v>0</v>
      </c>
      <c r="DE103" s="1">
        <v>0</v>
      </c>
      <c r="DF103" s="1">
        <v>14</v>
      </c>
      <c r="DG103" s="1">
        <v>0</v>
      </c>
      <c r="DH103" s="1">
        <v>0</v>
      </c>
      <c r="DI103" s="1">
        <v>0</v>
      </c>
      <c r="DJ103" s="1">
        <v>0</v>
      </c>
      <c r="DK103" s="1">
        <v>0</v>
      </c>
      <c r="DL103" s="1">
        <v>0</v>
      </c>
      <c r="DM103" s="1">
        <v>0</v>
      </c>
      <c r="DN103" s="1">
        <v>0</v>
      </c>
      <c r="DO103" s="1">
        <v>0</v>
      </c>
      <c r="DP103" s="1">
        <v>0</v>
      </c>
      <c r="DQ103" s="1">
        <v>0</v>
      </c>
      <c r="DR103" s="1">
        <v>0</v>
      </c>
      <c r="DS103" s="1">
        <v>0</v>
      </c>
      <c r="DT103" s="1">
        <v>0</v>
      </c>
      <c r="DU103" s="1">
        <v>0</v>
      </c>
      <c r="DV103" s="1">
        <v>0</v>
      </c>
      <c r="DW103" s="1">
        <v>0</v>
      </c>
      <c r="DX103" s="1">
        <v>0</v>
      </c>
      <c r="DY103" s="1">
        <v>0</v>
      </c>
      <c r="DZ103" s="1">
        <v>0</v>
      </c>
      <c r="EA103" s="1">
        <v>0</v>
      </c>
      <c r="EB103" s="1">
        <v>0</v>
      </c>
      <c r="EC103" s="1">
        <v>0</v>
      </c>
      <c r="ED103" s="1">
        <v>0</v>
      </c>
      <c r="EE103" s="1">
        <v>0</v>
      </c>
      <c r="EF103" s="1">
        <v>0</v>
      </c>
      <c r="EG103" s="1">
        <v>0</v>
      </c>
      <c r="EH103" s="1">
        <v>0</v>
      </c>
      <c r="EI103" s="1">
        <v>0</v>
      </c>
      <c r="EJ103" s="1">
        <v>0</v>
      </c>
      <c r="EK103" s="1">
        <v>0</v>
      </c>
      <c r="EL103" s="1">
        <v>0</v>
      </c>
      <c r="EM103" s="1">
        <v>0</v>
      </c>
      <c r="EN103" s="1">
        <v>0</v>
      </c>
      <c r="EO103" s="1">
        <v>0</v>
      </c>
      <c r="EP103" s="1">
        <v>0</v>
      </c>
      <c r="EQ103" s="1">
        <v>0</v>
      </c>
      <c r="ER103" s="1">
        <v>0</v>
      </c>
      <c r="ES103" s="1">
        <v>0</v>
      </c>
      <c r="ET103" s="1">
        <v>0</v>
      </c>
      <c r="EU103" s="1">
        <v>0</v>
      </c>
      <c r="EV103" s="1">
        <v>0</v>
      </c>
      <c r="EW103" s="1">
        <v>0</v>
      </c>
      <c r="EX103" s="1">
        <v>0</v>
      </c>
      <c r="EY103" s="1">
        <v>0</v>
      </c>
      <c r="EZ103" s="1">
        <v>0</v>
      </c>
      <c r="FA103" s="1">
        <v>0</v>
      </c>
      <c r="FB103" s="1">
        <v>0</v>
      </c>
      <c r="FC103" s="1">
        <v>0</v>
      </c>
      <c r="FD103" s="1">
        <v>0</v>
      </c>
      <c r="FE103" s="1">
        <f t="shared" si="46"/>
        <v>14</v>
      </c>
      <c r="FF103" s="1">
        <f>DC157</f>
        <v>0</v>
      </c>
      <c r="FG103" s="1">
        <f t="shared" si="47"/>
        <v>0</v>
      </c>
    </row>
    <row r="104" spans="8:163" ht="15.75" thickBot="1" x14ac:dyDescent="0.3">
      <c r="H104" s="1" t="s">
        <v>37</v>
      </c>
      <c r="I104" s="1">
        <f t="shared" si="45"/>
        <v>-42</v>
      </c>
      <c r="J104" s="1">
        <f t="shared" si="49"/>
        <v>0</v>
      </c>
      <c r="K104" s="1">
        <f t="shared" si="50"/>
        <v>0</v>
      </c>
      <c r="L104" s="1">
        <f t="shared" si="51"/>
        <v>0</v>
      </c>
      <c r="M104" s="1">
        <f t="shared" si="52"/>
        <v>0</v>
      </c>
      <c r="N104" s="1">
        <f t="shared" si="53"/>
        <v>0</v>
      </c>
      <c r="O104" s="1">
        <f t="shared" si="54"/>
        <v>0</v>
      </c>
      <c r="P104" s="1">
        <f t="shared" si="55"/>
        <v>0</v>
      </c>
      <c r="Q104" s="1">
        <f t="shared" si="56"/>
        <v>0</v>
      </c>
      <c r="R104" s="1">
        <f t="shared" si="57"/>
        <v>0</v>
      </c>
      <c r="S104" s="1">
        <f t="shared" si="58"/>
        <v>0</v>
      </c>
      <c r="T104" s="1">
        <f t="shared" si="59"/>
        <v>0</v>
      </c>
      <c r="U104" s="1">
        <f t="shared" si="60"/>
        <v>0</v>
      </c>
      <c r="V104" s="1">
        <f t="shared" si="61"/>
        <v>0</v>
      </c>
      <c r="W104" s="1">
        <f t="shared" si="62"/>
        <v>0</v>
      </c>
      <c r="X104" s="1">
        <f t="shared" si="63"/>
        <v>0</v>
      </c>
      <c r="Y104" s="1">
        <f t="shared" si="64"/>
        <v>0</v>
      </c>
      <c r="Z104" s="1">
        <f t="shared" si="65"/>
        <v>0</v>
      </c>
      <c r="AA104" s="1">
        <f t="shared" si="66"/>
        <v>0</v>
      </c>
      <c r="AB104" s="1">
        <f t="shared" si="67"/>
        <v>0</v>
      </c>
      <c r="AC104" s="1">
        <f t="shared" si="68"/>
        <v>0</v>
      </c>
      <c r="AD104" s="1">
        <f t="shared" si="69"/>
        <v>0</v>
      </c>
      <c r="AE104" s="1">
        <f t="shared" si="70"/>
        <v>0</v>
      </c>
      <c r="AF104" s="1">
        <f t="shared" si="71"/>
        <v>0</v>
      </c>
      <c r="AG104" s="1">
        <f t="shared" si="72"/>
        <v>0</v>
      </c>
      <c r="AH104" s="1">
        <f t="shared" si="73"/>
        <v>0</v>
      </c>
      <c r="AI104" s="1">
        <f t="shared" si="74"/>
        <v>0</v>
      </c>
      <c r="AJ104" s="1">
        <f t="shared" si="75"/>
        <v>0</v>
      </c>
      <c r="AK104" s="1">
        <f t="shared" si="76"/>
        <v>0</v>
      </c>
      <c r="AL104" s="1">
        <f t="shared" si="77"/>
        <v>0</v>
      </c>
      <c r="AM104" s="1">
        <f t="shared" si="78"/>
        <v>0</v>
      </c>
      <c r="AN104" s="1">
        <f t="shared" si="79"/>
        <v>0</v>
      </c>
      <c r="AO104" s="1">
        <f t="shared" si="80"/>
        <v>0</v>
      </c>
      <c r="AP104" s="1">
        <f t="shared" si="81"/>
        <v>0</v>
      </c>
      <c r="AQ104" s="1">
        <f t="shared" si="82"/>
        <v>0</v>
      </c>
      <c r="AR104" s="1">
        <f t="shared" si="83"/>
        <v>0</v>
      </c>
      <c r="AS104" s="1">
        <f t="shared" si="84"/>
        <v>0</v>
      </c>
      <c r="AT104" s="1">
        <f t="shared" si="85"/>
        <v>0</v>
      </c>
      <c r="AU104" s="1">
        <f t="shared" si="86"/>
        <v>0</v>
      </c>
      <c r="AV104" s="1">
        <f t="shared" si="87"/>
        <v>0</v>
      </c>
      <c r="AW104" s="1">
        <f t="shared" si="88"/>
        <v>0</v>
      </c>
      <c r="AX104" s="1">
        <f t="shared" si="89"/>
        <v>0</v>
      </c>
      <c r="AY104" s="1">
        <f t="shared" si="90"/>
        <v>0</v>
      </c>
      <c r="AZ104" s="1">
        <f t="shared" si="91"/>
        <v>0</v>
      </c>
      <c r="BA104" s="1">
        <f t="shared" si="92"/>
        <v>0</v>
      </c>
      <c r="BB104" s="1">
        <f t="shared" si="93"/>
        <v>0</v>
      </c>
      <c r="BC104" s="1">
        <f t="shared" si="94"/>
        <v>0</v>
      </c>
      <c r="BD104" s="1">
        <f t="shared" si="95"/>
        <v>0</v>
      </c>
      <c r="BE104" s="1">
        <f t="shared" si="96"/>
        <v>0</v>
      </c>
      <c r="BF104" s="1">
        <f t="shared" si="97"/>
        <v>0</v>
      </c>
      <c r="BG104" s="1">
        <f t="shared" si="98"/>
        <v>0</v>
      </c>
      <c r="BH104" s="1">
        <f t="shared" si="99"/>
        <v>0</v>
      </c>
      <c r="BI104" s="1">
        <f t="shared" si="100"/>
        <v>0</v>
      </c>
      <c r="BJ104" s="1">
        <f t="shared" si="101"/>
        <v>0</v>
      </c>
      <c r="BK104" s="1">
        <f t="shared" si="102"/>
        <v>0</v>
      </c>
      <c r="BL104" s="1">
        <f t="shared" si="103"/>
        <v>0</v>
      </c>
      <c r="BM104" s="1">
        <f t="shared" si="104"/>
        <v>0</v>
      </c>
      <c r="BN104" s="1">
        <f t="shared" si="105"/>
        <v>0</v>
      </c>
      <c r="BO104" s="1">
        <f t="shared" si="106"/>
        <v>0</v>
      </c>
      <c r="BP104" s="1">
        <f t="shared" si="107"/>
        <v>0</v>
      </c>
      <c r="BQ104" s="1">
        <f t="shared" si="108"/>
        <v>0</v>
      </c>
      <c r="BR104" s="1">
        <f t="shared" si="109"/>
        <v>0</v>
      </c>
      <c r="BS104" s="1">
        <f t="shared" si="110"/>
        <v>0</v>
      </c>
      <c r="BT104" s="1">
        <f t="shared" si="111"/>
        <v>0</v>
      </c>
      <c r="BU104" s="1">
        <f t="shared" si="48"/>
        <v>0</v>
      </c>
      <c r="BV104" s="1">
        <f t="shared" si="112"/>
        <v>0</v>
      </c>
      <c r="BW104" s="1">
        <f t="shared" si="113"/>
        <v>0</v>
      </c>
      <c r="BX104" s="1">
        <f t="shared" si="114"/>
        <v>0</v>
      </c>
      <c r="BY104" s="1">
        <f t="shared" si="115"/>
        <v>0</v>
      </c>
      <c r="BZ104" s="1">
        <f t="shared" si="116"/>
        <v>0</v>
      </c>
      <c r="CA104" s="1">
        <f t="shared" si="117"/>
        <v>0</v>
      </c>
      <c r="CB104" s="1">
        <f t="shared" si="118"/>
        <v>0</v>
      </c>
      <c r="CC104" s="1">
        <f t="shared" si="119"/>
        <v>0</v>
      </c>
      <c r="CD104" s="1">
        <f t="shared" si="120"/>
        <v>0</v>
      </c>
      <c r="CE104" s="1"/>
      <c r="CH104" s="1" t="s">
        <v>37</v>
      </c>
      <c r="CI104" s="1">
        <v>28</v>
      </c>
      <c r="CJ104" s="1">
        <v>0</v>
      </c>
      <c r="CK104" s="1">
        <v>0</v>
      </c>
      <c r="CL104" s="1">
        <v>0</v>
      </c>
      <c r="CM104" s="1">
        <v>0</v>
      </c>
      <c r="CN104" s="1">
        <v>0</v>
      </c>
      <c r="CO104" s="1">
        <v>0</v>
      </c>
      <c r="CP104" s="1">
        <v>0</v>
      </c>
      <c r="CQ104" s="1">
        <v>0</v>
      </c>
      <c r="CR104" s="1">
        <v>0</v>
      </c>
      <c r="CS104" s="1">
        <v>0</v>
      </c>
      <c r="CT104" s="1">
        <v>0</v>
      </c>
      <c r="CU104" s="1">
        <v>0</v>
      </c>
      <c r="CV104" s="1">
        <v>0</v>
      </c>
      <c r="CW104" s="1">
        <v>0</v>
      </c>
      <c r="CX104" s="1">
        <v>0</v>
      </c>
      <c r="CY104" s="1">
        <v>0</v>
      </c>
      <c r="CZ104" s="1">
        <v>0</v>
      </c>
      <c r="DA104" s="1">
        <v>0</v>
      </c>
      <c r="DB104" s="1">
        <v>0</v>
      </c>
      <c r="DC104" s="1">
        <v>0</v>
      </c>
      <c r="DD104" s="1">
        <v>0</v>
      </c>
      <c r="DE104" s="1">
        <v>0</v>
      </c>
      <c r="DF104" s="1">
        <v>0</v>
      </c>
      <c r="DG104" s="1">
        <v>0</v>
      </c>
      <c r="DH104" s="1">
        <v>0</v>
      </c>
      <c r="DI104" s="1">
        <v>0</v>
      </c>
      <c r="DJ104" s="1">
        <v>0</v>
      </c>
      <c r="DK104" s="1">
        <v>0</v>
      </c>
      <c r="DL104" s="1">
        <v>0</v>
      </c>
      <c r="DM104" s="1">
        <v>0</v>
      </c>
      <c r="DN104" s="1">
        <v>0</v>
      </c>
      <c r="DO104" s="1">
        <v>0</v>
      </c>
      <c r="DP104" s="1">
        <v>0</v>
      </c>
      <c r="DQ104" s="1">
        <v>0</v>
      </c>
      <c r="DR104" s="1">
        <v>0</v>
      </c>
      <c r="DS104" s="1">
        <v>0</v>
      </c>
      <c r="DT104" s="1">
        <v>0</v>
      </c>
      <c r="DU104" s="1">
        <v>0</v>
      </c>
      <c r="DV104" s="1">
        <v>0</v>
      </c>
      <c r="DW104" s="1">
        <v>0</v>
      </c>
      <c r="DX104" s="1">
        <v>0</v>
      </c>
      <c r="DY104" s="1">
        <v>0</v>
      </c>
      <c r="DZ104" s="1">
        <v>0</v>
      </c>
      <c r="EA104" s="1">
        <v>0</v>
      </c>
      <c r="EB104" s="1">
        <v>0</v>
      </c>
      <c r="EC104" s="1">
        <v>0</v>
      </c>
      <c r="ED104" s="1">
        <v>0</v>
      </c>
      <c r="EE104" s="1">
        <v>0</v>
      </c>
      <c r="EF104" s="1">
        <v>0</v>
      </c>
      <c r="EG104" s="1">
        <v>0</v>
      </c>
      <c r="EH104" s="1">
        <v>0</v>
      </c>
      <c r="EI104" s="1">
        <v>0</v>
      </c>
      <c r="EJ104" s="1">
        <v>0</v>
      </c>
      <c r="EK104" s="1">
        <v>0</v>
      </c>
      <c r="EL104" s="1">
        <v>0</v>
      </c>
      <c r="EM104" s="1">
        <v>0</v>
      </c>
      <c r="EN104" s="1">
        <v>0</v>
      </c>
      <c r="EO104" s="1">
        <v>0</v>
      </c>
      <c r="EP104" s="1">
        <v>0</v>
      </c>
      <c r="EQ104" s="1">
        <v>0</v>
      </c>
      <c r="ER104" s="1">
        <v>0</v>
      </c>
      <c r="ES104" s="1">
        <v>0</v>
      </c>
      <c r="ET104" s="1">
        <v>0</v>
      </c>
      <c r="EU104" s="1">
        <v>0</v>
      </c>
      <c r="EV104" s="1">
        <v>0</v>
      </c>
      <c r="EW104" s="1">
        <v>0</v>
      </c>
      <c r="EX104" s="1">
        <v>0</v>
      </c>
      <c r="EY104" s="1">
        <v>0</v>
      </c>
      <c r="EZ104" s="1">
        <v>0</v>
      </c>
      <c r="FA104" s="1">
        <v>0</v>
      </c>
      <c r="FB104" s="1">
        <v>0</v>
      </c>
      <c r="FC104" s="1">
        <v>0</v>
      </c>
      <c r="FD104" s="1">
        <v>0</v>
      </c>
      <c r="FE104" s="1">
        <f t="shared" si="46"/>
        <v>28</v>
      </c>
      <c r="FF104" s="1">
        <f>DD157</f>
        <v>25</v>
      </c>
      <c r="FG104" s="1">
        <f t="shared" si="47"/>
        <v>0</v>
      </c>
    </row>
    <row r="105" spans="8:163" ht="15.75" thickBot="1" x14ac:dyDescent="0.3">
      <c r="H105" s="1" t="s">
        <v>38</v>
      </c>
      <c r="I105" s="1">
        <f t="shared" si="45"/>
        <v>0</v>
      </c>
      <c r="J105" s="1">
        <f t="shared" si="49"/>
        <v>0</v>
      </c>
      <c r="K105" s="1">
        <f t="shared" si="50"/>
        <v>0</v>
      </c>
      <c r="L105" s="1">
        <f t="shared" si="51"/>
        <v>0</v>
      </c>
      <c r="M105" s="1">
        <f t="shared" si="52"/>
        <v>0</v>
      </c>
      <c r="N105" s="1">
        <f t="shared" si="53"/>
        <v>0</v>
      </c>
      <c r="O105" s="1">
        <f t="shared" si="54"/>
        <v>0</v>
      </c>
      <c r="P105" s="1">
        <f t="shared" si="55"/>
        <v>0</v>
      </c>
      <c r="Q105" s="1">
        <f t="shared" si="56"/>
        <v>0</v>
      </c>
      <c r="R105" s="1">
        <f t="shared" si="57"/>
        <v>0</v>
      </c>
      <c r="S105" s="1">
        <f t="shared" si="58"/>
        <v>0</v>
      </c>
      <c r="T105" s="1">
        <f t="shared" si="59"/>
        <v>0</v>
      </c>
      <c r="U105" s="1">
        <f t="shared" si="60"/>
        <v>0</v>
      </c>
      <c r="V105" s="1">
        <f t="shared" si="61"/>
        <v>0</v>
      </c>
      <c r="W105" s="1">
        <f t="shared" si="62"/>
        <v>0</v>
      </c>
      <c r="X105" s="1">
        <f t="shared" si="63"/>
        <v>0</v>
      </c>
      <c r="Y105" s="1">
        <f t="shared" si="64"/>
        <v>0</v>
      </c>
      <c r="Z105" s="1">
        <f t="shared" si="65"/>
        <v>0</v>
      </c>
      <c r="AA105" s="1">
        <f t="shared" si="66"/>
        <v>0</v>
      </c>
      <c r="AB105" s="1">
        <f t="shared" si="67"/>
        <v>0</v>
      </c>
      <c r="AC105" s="1">
        <f t="shared" si="68"/>
        <v>0</v>
      </c>
      <c r="AD105" s="1">
        <f t="shared" si="69"/>
        <v>-45</v>
      </c>
      <c r="AE105" s="1">
        <f t="shared" si="70"/>
        <v>0</v>
      </c>
      <c r="AF105" s="1">
        <f t="shared" si="71"/>
        <v>0</v>
      </c>
      <c r="AG105" s="1">
        <f t="shared" si="72"/>
        <v>0</v>
      </c>
      <c r="AH105" s="1">
        <f t="shared" si="73"/>
        <v>0</v>
      </c>
      <c r="AI105" s="1">
        <f t="shared" si="74"/>
        <v>0</v>
      </c>
      <c r="AJ105" s="1">
        <f t="shared" si="75"/>
        <v>0</v>
      </c>
      <c r="AK105" s="1">
        <f t="shared" si="76"/>
        <v>0</v>
      </c>
      <c r="AL105" s="1">
        <f t="shared" si="77"/>
        <v>0</v>
      </c>
      <c r="AM105" s="1">
        <f t="shared" si="78"/>
        <v>0</v>
      </c>
      <c r="AN105" s="1">
        <f t="shared" si="79"/>
        <v>0</v>
      </c>
      <c r="AO105" s="1">
        <f t="shared" si="80"/>
        <v>0</v>
      </c>
      <c r="AP105" s="1">
        <f t="shared" si="81"/>
        <v>0</v>
      </c>
      <c r="AQ105" s="1">
        <f t="shared" si="82"/>
        <v>0</v>
      </c>
      <c r="AR105" s="1">
        <f t="shared" si="83"/>
        <v>0</v>
      </c>
      <c r="AS105" s="1">
        <f t="shared" si="84"/>
        <v>0</v>
      </c>
      <c r="AT105" s="1">
        <f t="shared" si="85"/>
        <v>0</v>
      </c>
      <c r="AU105" s="1">
        <f t="shared" si="86"/>
        <v>0</v>
      </c>
      <c r="AV105" s="1">
        <f t="shared" si="87"/>
        <v>0</v>
      </c>
      <c r="AW105" s="1">
        <f t="shared" si="88"/>
        <v>0</v>
      </c>
      <c r="AX105" s="1">
        <f t="shared" si="89"/>
        <v>0</v>
      </c>
      <c r="AY105" s="1">
        <f t="shared" si="90"/>
        <v>0</v>
      </c>
      <c r="AZ105" s="1">
        <f t="shared" si="91"/>
        <v>0</v>
      </c>
      <c r="BA105" s="1">
        <f t="shared" si="92"/>
        <v>0</v>
      </c>
      <c r="BB105" s="1">
        <f t="shared" si="93"/>
        <v>0</v>
      </c>
      <c r="BC105" s="1">
        <f t="shared" si="94"/>
        <v>0</v>
      </c>
      <c r="BD105" s="1">
        <f t="shared" si="95"/>
        <v>0</v>
      </c>
      <c r="BE105" s="1">
        <f t="shared" si="96"/>
        <v>0</v>
      </c>
      <c r="BF105" s="1">
        <f t="shared" si="97"/>
        <v>0</v>
      </c>
      <c r="BG105" s="1">
        <f t="shared" si="98"/>
        <v>0</v>
      </c>
      <c r="BH105" s="1">
        <f t="shared" si="99"/>
        <v>0</v>
      </c>
      <c r="BI105" s="1">
        <f t="shared" si="100"/>
        <v>0</v>
      </c>
      <c r="BJ105" s="1">
        <f t="shared" si="101"/>
        <v>0</v>
      </c>
      <c r="BK105" s="1">
        <f t="shared" si="102"/>
        <v>0</v>
      </c>
      <c r="BL105" s="1">
        <f t="shared" si="103"/>
        <v>0</v>
      </c>
      <c r="BM105" s="1">
        <f t="shared" si="104"/>
        <v>0</v>
      </c>
      <c r="BN105" s="1">
        <f t="shared" si="105"/>
        <v>0</v>
      </c>
      <c r="BO105" s="1">
        <f t="shared" si="106"/>
        <v>0</v>
      </c>
      <c r="BP105" s="1">
        <f t="shared" si="107"/>
        <v>0</v>
      </c>
      <c r="BQ105" s="1">
        <f t="shared" si="108"/>
        <v>0</v>
      </c>
      <c r="BR105" s="1">
        <f t="shared" si="109"/>
        <v>0</v>
      </c>
      <c r="BS105" s="1">
        <f t="shared" si="110"/>
        <v>0</v>
      </c>
      <c r="BT105" s="1">
        <f t="shared" si="111"/>
        <v>0</v>
      </c>
      <c r="BU105" s="1">
        <f t="shared" si="48"/>
        <v>0</v>
      </c>
      <c r="BV105" s="1">
        <f t="shared" si="112"/>
        <v>0</v>
      </c>
      <c r="BW105" s="1">
        <f t="shared" si="113"/>
        <v>0</v>
      </c>
      <c r="BX105" s="1">
        <f t="shared" si="114"/>
        <v>0</v>
      </c>
      <c r="BY105" s="1">
        <f t="shared" si="115"/>
        <v>0</v>
      </c>
      <c r="BZ105" s="1">
        <f t="shared" si="116"/>
        <v>0</v>
      </c>
      <c r="CA105" s="1">
        <f t="shared" si="117"/>
        <v>0</v>
      </c>
      <c r="CB105" s="1">
        <f t="shared" si="118"/>
        <v>0</v>
      </c>
      <c r="CC105" s="1">
        <f t="shared" si="119"/>
        <v>0</v>
      </c>
      <c r="CD105" s="1">
        <f t="shared" si="120"/>
        <v>0</v>
      </c>
      <c r="CE105" s="1"/>
      <c r="CH105" s="1" t="s">
        <v>38</v>
      </c>
      <c r="CI105" s="1">
        <v>0</v>
      </c>
      <c r="CJ105" s="1">
        <v>0</v>
      </c>
      <c r="CK105" s="1">
        <v>0</v>
      </c>
      <c r="CL105" s="1">
        <v>0</v>
      </c>
      <c r="CM105" s="1">
        <v>0</v>
      </c>
      <c r="CN105" s="1">
        <v>0</v>
      </c>
      <c r="CO105" s="1">
        <v>0</v>
      </c>
      <c r="CP105" s="1">
        <v>0</v>
      </c>
      <c r="CQ105" s="1">
        <v>0</v>
      </c>
      <c r="CR105" s="1">
        <v>0</v>
      </c>
      <c r="CS105" s="1">
        <v>0</v>
      </c>
      <c r="CT105" s="1">
        <v>0</v>
      </c>
      <c r="CU105" s="1">
        <v>0</v>
      </c>
      <c r="CV105" s="1">
        <v>0</v>
      </c>
      <c r="CW105" s="1">
        <v>0</v>
      </c>
      <c r="CX105" s="1">
        <v>0</v>
      </c>
      <c r="CY105" s="1">
        <v>0</v>
      </c>
      <c r="CZ105" s="1">
        <v>0</v>
      </c>
      <c r="DA105" s="1">
        <v>0</v>
      </c>
      <c r="DB105" s="1">
        <v>0</v>
      </c>
      <c r="DC105" s="1">
        <v>0</v>
      </c>
      <c r="DD105" s="1">
        <v>25</v>
      </c>
      <c r="DE105" s="1">
        <v>0</v>
      </c>
      <c r="DF105" s="1">
        <v>0</v>
      </c>
      <c r="DG105" s="1">
        <v>0</v>
      </c>
      <c r="DH105" s="1">
        <v>0</v>
      </c>
      <c r="DI105" s="1">
        <v>0</v>
      </c>
      <c r="DJ105" s="1">
        <v>0</v>
      </c>
      <c r="DK105" s="1">
        <v>0</v>
      </c>
      <c r="DL105" s="1">
        <v>0</v>
      </c>
      <c r="DM105" s="1">
        <v>0</v>
      </c>
      <c r="DN105" s="1">
        <v>0</v>
      </c>
      <c r="DO105" s="1">
        <v>0</v>
      </c>
      <c r="DP105" s="1">
        <v>0</v>
      </c>
      <c r="DQ105" s="1">
        <v>0</v>
      </c>
      <c r="DR105" s="1">
        <v>0</v>
      </c>
      <c r="DS105" s="1">
        <v>0</v>
      </c>
      <c r="DT105" s="1">
        <v>0</v>
      </c>
      <c r="DU105" s="1">
        <v>0</v>
      </c>
      <c r="DV105" s="1">
        <v>0</v>
      </c>
      <c r="DW105" s="1">
        <v>0</v>
      </c>
      <c r="DX105" s="1">
        <v>0</v>
      </c>
      <c r="DY105" s="1">
        <v>0</v>
      </c>
      <c r="DZ105" s="1">
        <v>0</v>
      </c>
      <c r="EA105" s="1">
        <v>0</v>
      </c>
      <c r="EB105" s="1">
        <v>0</v>
      </c>
      <c r="EC105" s="1">
        <v>0</v>
      </c>
      <c r="ED105" s="1">
        <v>0</v>
      </c>
      <c r="EE105" s="1">
        <v>0</v>
      </c>
      <c r="EF105" s="1">
        <v>0</v>
      </c>
      <c r="EG105" s="1">
        <v>0</v>
      </c>
      <c r="EH105" s="1">
        <v>0</v>
      </c>
      <c r="EI105" s="1">
        <v>0</v>
      </c>
      <c r="EJ105" s="1">
        <v>0</v>
      </c>
      <c r="EK105" s="1">
        <v>0</v>
      </c>
      <c r="EL105" s="1">
        <v>0</v>
      </c>
      <c r="EM105" s="1">
        <v>0</v>
      </c>
      <c r="EN105" s="1">
        <v>0</v>
      </c>
      <c r="EO105" s="1">
        <v>0</v>
      </c>
      <c r="EP105" s="1">
        <v>0</v>
      </c>
      <c r="EQ105" s="1">
        <v>0</v>
      </c>
      <c r="ER105" s="1">
        <v>0</v>
      </c>
      <c r="ES105" s="1">
        <v>0</v>
      </c>
      <c r="ET105" s="1">
        <v>0</v>
      </c>
      <c r="EU105" s="1">
        <v>0</v>
      </c>
      <c r="EV105" s="1">
        <v>0</v>
      </c>
      <c r="EW105" s="1">
        <v>0</v>
      </c>
      <c r="EX105" s="1">
        <v>0</v>
      </c>
      <c r="EY105" s="1">
        <v>0</v>
      </c>
      <c r="EZ105" s="1">
        <v>0</v>
      </c>
      <c r="FA105" s="1">
        <v>0</v>
      </c>
      <c r="FB105" s="1">
        <v>0</v>
      </c>
      <c r="FC105" s="1">
        <v>0</v>
      </c>
      <c r="FD105" s="1">
        <v>0</v>
      </c>
      <c r="FE105" s="1">
        <f t="shared" si="46"/>
        <v>25</v>
      </c>
      <c r="FF105" s="1">
        <f>DE157</f>
        <v>20</v>
      </c>
      <c r="FG105" s="1">
        <f t="shared" si="47"/>
        <v>0</v>
      </c>
    </row>
    <row r="106" spans="8:163" ht="15.75" thickBot="1" x14ac:dyDescent="0.3">
      <c r="H106" s="1" t="s">
        <v>39</v>
      </c>
      <c r="I106" s="1">
        <f t="shared" si="45"/>
        <v>0</v>
      </c>
      <c r="J106" s="1">
        <f t="shared" si="49"/>
        <v>0</v>
      </c>
      <c r="K106" s="1">
        <f t="shared" si="50"/>
        <v>0</v>
      </c>
      <c r="L106" s="1">
        <f t="shared" si="51"/>
        <v>0</v>
      </c>
      <c r="M106" s="1">
        <f t="shared" si="52"/>
        <v>0</v>
      </c>
      <c r="N106" s="1">
        <f t="shared" si="53"/>
        <v>0</v>
      </c>
      <c r="O106" s="1">
        <f t="shared" si="54"/>
        <v>0</v>
      </c>
      <c r="P106" s="1">
        <f t="shared" si="55"/>
        <v>0</v>
      </c>
      <c r="Q106" s="1">
        <f t="shared" si="56"/>
        <v>0</v>
      </c>
      <c r="R106" s="1">
        <f t="shared" si="57"/>
        <v>0</v>
      </c>
      <c r="S106" s="1">
        <f t="shared" si="58"/>
        <v>0</v>
      </c>
      <c r="T106" s="1">
        <f t="shared" si="59"/>
        <v>0</v>
      </c>
      <c r="U106" s="1">
        <f t="shared" si="60"/>
        <v>0</v>
      </c>
      <c r="V106" s="1">
        <f t="shared" si="61"/>
        <v>0</v>
      </c>
      <c r="W106" s="1">
        <f t="shared" si="62"/>
        <v>0</v>
      </c>
      <c r="X106" s="1">
        <f t="shared" si="63"/>
        <v>0</v>
      </c>
      <c r="Y106" s="1">
        <f t="shared" si="64"/>
        <v>0</v>
      </c>
      <c r="Z106" s="1">
        <f t="shared" si="65"/>
        <v>0</v>
      </c>
      <c r="AA106" s="1">
        <f t="shared" si="66"/>
        <v>0</v>
      </c>
      <c r="AB106" s="1">
        <f t="shared" si="67"/>
        <v>0</v>
      </c>
      <c r="AC106" s="1">
        <f t="shared" si="68"/>
        <v>0</v>
      </c>
      <c r="AD106" s="1">
        <f t="shared" si="69"/>
        <v>0</v>
      </c>
      <c r="AE106" s="1">
        <f t="shared" si="70"/>
        <v>-50</v>
      </c>
      <c r="AF106" s="1">
        <f t="shared" si="71"/>
        <v>0</v>
      </c>
      <c r="AG106" s="1">
        <f t="shared" si="72"/>
        <v>0</v>
      </c>
      <c r="AH106" s="1">
        <f t="shared" si="73"/>
        <v>0</v>
      </c>
      <c r="AI106" s="1">
        <f t="shared" si="74"/>
        <v>0</v>
      </c>
      <c r="AJ106" s="1">
        <f t="shared" si="75"/>
        <v>0</v>
      </c>
      <c r="AK106" s="1">
        <f t="shared" si="76"/>
        <v>0</v>
      </c>
      <c r="AL106" s="1">
        <f t="shared" si="77"/>
        <v>0</v>
      </c>
      <c r="AM106" s="1">
        <f t="shared" si="78"/>
        <v>0</v>
      </c>
      <c r="AN106" s="1">
        <f t="shared" si="79"/>
        <v>0</v>
      </c>
      <c r="AO106" s="1">
        <f t="shared" si="80"/>
        <v>0</v>
      </c>
      <c r="AP106" s="1">
        <f t="shared" si="81"/>
        <v>0</v>
      </c>
      <c r="AQ106" s="1">
        <f t="shared" si="82"/>
        <v>0</v>
      </c>
      <c r="AR106" s="1">
        <f t="shared" si="83"/>
        <v>0</v>
      </c>
      <c r="AS106" s="1">
        <f t="shared" si="84"/>
        <v>0</v>
      </c>
      <c r="AT106" s="1">
        <f t="shared" si="85"/>
        <v>0</v>
      </c>
      <c r="AU106" s="1">
        <f t="shared" si="86"/>
        <v>0</v>
      </c>
      <c r="AV106" s="1">
        <f t="shared" si="87"/>
        <v>0</v>
      </c>
      <c r="AW106" s="1">
        <f t="shared" si="88"/>
        <v>0</v>
      </c>
      <c r="AX106" s="1">
        <f t="shared" si="89"/>
        <v>0</v>
      </c>
      <c r="AY106" s="1">
        <f t="shared" si="90"/>
        <v>0</v>
      </c>
      <c r="AZ106" s="1">
        <f t="shared" si="91"/>
        <v>0</v>
      </c>
      <c r="BA106" s="1">
        <f t="shared" si="92"/>
        <v>0</v>
      </c>
      <c r="BB106" s="1">
        <f t="shared" si="93"/>
        <v>0</v>
      </c>
      <c r="BC106" s="1">
        <f t="shared" si="94"/>
        <v>0</v>
      </c>
      <c r="BD106" s="1">
        <f t="shared" si="95"/>
        <v>0</v>
      </c>
      <c r="BE106" s="1">
        <f t="shared" si="96"/>
        <v>0</v>
      </c>
      <c r="BF106" s="1">
        <f t="shared" si="97"/>
        <v>0</v>
      </c>
      <c r="BG106" s="1">
        <f t="shared" si="98"/>
        <v>0</v>
      </c>
      <c r="BH106" s="1">
        <f t="shared" si="99"/>
        <v>0</v>
      </c>
      <c r="BI106" s="1">
        <f t="shared" si="100"/>
        <v>0</v>
      </c>
      <c r="BJ106" s="1">
        <f t="shared" si="101"/>
        <v>0</v>
      </c>
      <c r="BK106" s="1">
        <f t="shared" si="102"/>
        <v>0</v>
      </c>
      <c r="BL106" s="1">
        <f t="shared" si="103"/>
        <v>0</v>
      </c>
      <c r="BM106" s="1">
        <f t="shared" si="104"/>
        <v>0</v>
      </c>
      <c r="BN106" s="1">
        <f t="shared" si="105"/>
        <v>0</v>
      </c>
      <c r="BO106" s="1">
        <f t="shared" si="106"/>
        <v>0</v>
      </c>
      <c r="BP106" s="1">
        <f t="shared" si="107"/>
        <v>0</v>
      </c>
      <c r="BQ106" s="1">
        <f t="shared" si="108"/>
        <v>0</v>
      </c>
      <c r="BR106" s="1">
        <f t="shared" si="109"/>
        <v>0</v>
      </c>
      <c r="BS106" s="1">
        <f t="shared" si="110"/>
        <v>0</v>
      </c>
      <c r="BT106" s="1">
        <f t="shared" si="111"/>
        <v>0</v>
      </c>
      <c r="BU106" s="1">
        <f t="shared" si="48"/>
        <v>0</v>
      </c>
      <c r="BV106" s="1">
        <f t="shared" si="112"/>
        <v>0</v>
      </c>
      <c r="BW106" s="1">
        <f t="shared" si="113"/>
        <v>0</v>
      </c>
      <c r="BX106" s="1">
        <f t="shared" si="114"/>
        <v>0</v>
      </c>
      <c r="BY106" s="1">
        <f t="shared" si="115"/>
        <v>0</v>
      </c>
      <c r="BZ106" s="1">
        <f t="shared" si="116"/>
        <v>0</v>
      </c>
      <c r="CA106" s="1">
        <f t="shared" si="117"/>
        <v>0</v>
      </c>
      <c r="CB106" s="1">
        <f t="shared" si="118"/>
        <v>0</v>
      </c>
      <c r="CC106" s="1">
        <f t="shared" si="119"/>
        <v>0</v>
      </c>
      <c r="CD106" s="1">
        <f t="shared" si="120"/>
        <v>0</v>
      </c>
      <c r="CE106" s="1"/>
      <c r="CH106" s="1" t="s">
        <v>39</v>
      </c>
      <c r="CI106" s="1">
        <v>0</v>
      </c>
      <c r="CJ106" s="1">
        <v>0</v>
      </c>
      <c r="CK106" s="1">
        <v>0</v>
      </c>
      <c r="CL106" s="1">
        <v>0</v>
      </c>
      <c r="CM106" s="1">
        <v>0</v>
      </c>
      <c r="CN106" s="1">
        <v>0</v>
      </c>
      <c r="CO106" s="1">
        <v>0</v>
      </c>
      <c r="CP106" s="1">
        <v>0</v>
      </c>
      <c r="CQ106" s="1">
        <v>0</v>
      </c>
      <c r="CR106" s="1">
        <v>0</v>
      </c>
      <c r="CS106" s="1">
        <v>0</v>
      </c>
      <c r="CT106" s="1">
        <v>0</v>
      </c>
      <c r="CU106" s="1">
        <v>0</v>
      </c>
      <c r="CV106" s="1">
        <v>0</v>
      </c>
      <c r="CW106" s="1">
        <v>0</v>
      </c>
      <c r="CX106" s="1">
        <v>0</v>
      </c>
      <c r="CY106" s="1">
        <v>0</v>
      </c>
      <c r="CZ106" s="1">
        <v>0</v>
      </c>
      <c r="DA106" s="1">
        <v>0</v>
      </c>
      <c r="DB106" s="1">
        <v>0</v>
      </c>
      <c r="DC106" s="1">
        <v>0</v>
      </c>
      <c r="DD106" s="1">
        <v>0</v>
      </c>
      <c r="DE106" s="1">
        <v>20</v>
      </c>
      <c r="DF106" s="1">
        <v>0</v>
      </c>
      <c r="DG106" s="1">
        <v>0</v>
      </c>
      <c r="DH106" s="1">
        <v>0</v>
      </c>
      <c r="DI106" s="1">
        <v>0</v>
      </c>
      <c r="DJ106" s="1">
        <v>0</v>
      </c>
      <c r="DK106" s="1">
        <v>0</v>
      </c>
      <c r="DL106" s="1">
        <v>0</v>
      </c>
      <c r="DM106" s="1">
        <v>0</v>
      </c>
      <c r="DN106" s="1">
        <v>0</v>
      </c>
      <c r="DO106" s="1">
        <v>0</v>
      </c>
      <c r="DP106" s="1">
        <v>0</v>
      </c>
      <c r="DQ106" s="1">
        <v>0</v>
      </c>
      <c r="DR106" s="1">
        <v>0</v>
      </c>
      <c r="DS106" s="1">
        <v>0</v>
      </c>
      <c r="DT106" s="1">
        <v>0</v>
      </c>
      <c r="DU106" s="1">
        <v>0</v>
      </c>
      <c r="DV106" s="1">
        <v>0</v>
      </c>
      <c r="DW106" s="1">
        <v>0</v>
      </c>
      <c r="DX106" s="1">
        <v>0</v>
      </c>
      <c r="DY106" s="1">
        <v>0</v>
      </c>
      <c r="DZ106" s="1">
        <v>0</v>
      </c>
      <c r="EA106" s="1">
        <v>0</v>
      </c>
      <c r="EB106" s="1">
        <v>0</v>
      </c>
      <c r="EC106" s="1">
        <v>0</v>
      </c>
      <c r="ED106" s="1">
        <v>0</v>
      </c>
      <c r="EE106" s="1">
        <v>0</v>
      </c>
      <c r="EF106" s="1">
        <v>0</v>
      </c>
      <c r="EG106" s="1">
        <v>0</v>
      </c>
      <c r="EH106" s="1">
        <v>0</v>
      </c>
      <c r="EI106" s="1">
        <v>0</v>
      </c>
      <c r="EJ106" s="1">
        <v>0</v>
      </c>
      <c r="EK106" s="1">
        <v>0</v>
      </c>
      <c r="EL106" s="1">
        <v>0</v>
      </c>
      <c r="EM106" s="1">
        <v>0</v>
      </c>
      <c r="EN106" s="1">
        <v>0</v>
      </c>
      <c r="EO106" s="1">
        <v>0</v>
      </c>
      <c r="EP106" s="1">
        <v>0</v>
      </c>
      <c r="EQ106" s="1">
        <v>0</v>
      </c>
      <c r="ER106" s="1">
        <v>0</v>
      </c>
      <c r="ES106" s="1">
        <v>0</v>
      </c>
      <c r="ET106" s="1">
        <v>0</v>
      </c>
      <c r="EU106" s="1">
        <v>0</v>
      </c>
      <c r="EV106" s="1">
        <v>0</v>
      </c>
      <c r="EW106" s="1">
        <v>0</v>
      </c>
      <c r="EX106" s="1">
        <v>0</v>
      </c>
      <c r="EY106" s="1">
        <v>0</v>
      </c>
      <c r="EZ106" s="1">
        <v>0</v>
      </c>
      <c r="FA106" s="1">
        <v>0</v>
      </c>
      <c r="FB106" s="1">
        <v>0</v>
      </c>
      <c r="FC106" s="1">
        <v>0</v>
      </c>
      <c r="FD106" s="1">
        <v>0</v>
      </c>
      <c r="FE106" s="1">
        <f t="shared" si="46"/>
        <v>20</v>
      </c>
      <c r="FF106" s="1">
        <f>DF157</f>
        <v>14</v>
      </c>
      <c r="FG106" s="1">
        <f t="shared" si="47"/>
        <v>0</v>
      </c>
    </row>
    <row r="107" spans="8:163" ht="15.75" thickBot="1" x14ac:dyDescent="0.3">
      <c r="H107" s="1" t="s">
        <v>40</v>
      </c>
      <c r="I107" s="1">
        <f t="shared" si="45"/>
        <v>0</v>
      </c>
      <c r="J107" s="1">
        <f t="shared" si="49"/>
        <v>0</v>
      </c>
      <c r="K107" s="1">
        <f t="shared" si="50"/>
        <v>0</v>
      </c>
      <c r="L107" s="1">
        <f t="shared" si="51"/>
        <v>0</v>
      </c>
      <c r="M107" s="1">
        <f t="shared" si="52"/>
        <v>0</v>
      </c>
      <c r="N107" s="1">
        <f t="shared" si="53"/>
        <v>0</v>
      </c>
      <c r="O107" s="1">
        <f t="shared" si="54"/>
        <v>0</v>
      </c>
      <c r="P107" s="1">
        <f t="shared" si="55"/>
        <v>0</v>
      </c>
      <c r="Q107" s="1">
        <f t="shared" si="56"/>
        <v>0</v>
      </c>
      <c r="R107" s="1">
        <f t="shared" si="57"/>
        <v>0</v>
      </c>
      <c r="S107" s="1">
        <f t="shared" si="58"/>
        <v>0</v>
      </c>
      <c r="T107" s="1">
        <f t="shared" si="59"/>
        <v>0</v>
      </c>
      <c r="U107" s="1">
        <f t="shared" si="60"/>
        <v>0</v>
      </c>
      <c r="V107" s="1">
        <f t="shared" si="61"/>
        <v>0</v>
      </c>
      <c r="W107" s="1">
        <f t="shared" si="62"/>
        <v>0</v>
      </c>
      <c r="X107" s="1">
        <f t="shared" si="63"/>
        <v>0</v>
      </c>
      <c r="Y107" s="1">
        <f t="shared" si="64"/>
        <v>0</v>
      </c>
      <c r="Z107" s="1">
        <f t="shared" si="65"/>
        <v>0</v>
      </c>
      <c r="AA107" s="1">
        <f t="shared" si="66"/>
        <v>0</v>
      </c>
      <c r="AB107" s="1">
        <f t="shared" si="67"/>
        <v>0</v>
      </c>
      <c r="AC107" s="1">
        <f t="shared" si="68"/>
        <v>0</v>
      </c>
      <c r="AD107" s="1">
        <f t="shared" si="69"/>
        <v>0</v>
      </c>
      <c r="AE107" s="1">
        <f t="shared" si="70"/>
        <v>0</v>
      </c>
      <c r="AF107" s="1">
        <f t="shared" si="71"/>
        <v>0</v>
      </c>
      <c r="AG107" s="1">
        <f t="shared" si="72"/>
        <v>0</v>
      </c>
      <c r="AH107" s="1">
        <f t="shared" si="73"/>
        <v>0</v>
      </c>
      <c r="AI107" s="1">
        <f t="shared" si="74"/>
        <v>0</v>
      </c>
      <c r="AJ107" s="1">
        <f t="shared" si="75"/>
        <v>0</v>
      </c>
      <c r="AK107" s="1">
        <f t="shared" si="76"/>
        <v>0</v>
      </c>
      <c r="AL107" s="1">
        <f t="shared" si="77"/>
        <v>0</v>
      </c>
      <c r="AM107" s="1">
        <f t="shared" si="78"/>
        <v>0</v>
      </c>
      <c r="AN107" s="1">
        <f t="shared" si="79"/>
        <v>0</v>
      </c>
      <c r="AO107" s="1">
        <f t="shared" si="80"/>
        <v>0</v>
      </c>
      <c r="AP107" s="1">
        <f t="shared" si="81"/>
        <v>0</v>
      </c>
      <c r="AQ107" s="1">
        <f t="shared" si="82"/>
        <v>0</v>
      </c>
      <c r="AR107" s="1">
        <f t="shared" si="83"/>
        <v>0</v>
      </c>
      <c r="AS107" s="1">
        <f t="shared" si="84"/>
        <v>0</v>
      </c>
      <c r="AT107" s="1">
        <f t="shared" si="85"/>
        <v>0</v>
      </c>
      <c r="AU107" s="1">
        <f t="shared" si="86"/>
        <v>0</v>
      </c>
      <c r="AV107" s="1">
        <f t="shared" si="87"/>
        <v>0</v>
      </c>
      <c r="AW107" s="1">
        <f t="shared" si="88"/>
        <v>0</v>
      </c>
      <c r="AX107" s="1">
        <f t="shared" si="89"/>
        <v>0</v>
      </c>
      <c r="AY107" s="1">
        <f t="shared" si="90"/>
        <v>0</v>
      </c>
      <c r="AZ107" s="1">
        <f t="shared" si="91"/>
        <v>0</v>
      </c>
      <c r="BA107" s="1">
        <f t="shared" si="92"/>
        <v>0</v>
      </c>
      <c r="BB107" s="1">
        <f t="shared" si="93"/>
        <v>0</v>
      </c>
      <c r="BC107" s="1">
        <f t="shared" si="94"/>
        <v>0</v>
      </c>
      <c r="BD107" s="1">
        <f t="shared" si="95"/>
        <v>0</v>
      </c>
      <c r="BE107" s="1">
        <f t="shared" si="96"/>
        <v>0</v>
      </c>
      <c r="BF107" s="1">
        <f t="shared" si="97"/>
        <v>0</v>
      </c>
      <c r="BG107" s="1">
        <f t="shared" si="98"/>
        <v>0</v>
      </c>
      <c r="BH107" s="1">
        <f t="shared" si="99"/>
        <v>0</v>
      </c>
      <c r="BI107" s="1">
        <f t="shared" si="100"/>
        <v>0</v>
      </c>
      <c r="BJ107" s="1">
        <f t="shared" si="101"/>
        <v>0</v>
      </c>
      <c r="BK107" s="1">
        <f t="shared" si="102"/>
        <v>-58</v>
      </c>
      <c r="BL107" s="1">
        <f t="shared" si="103"/>
        <v>0</v>
      </c>
      <c r="BM107" s="1">
        <f t="shared" si="104"/>
        <v>0</v>
      </c>
      <c r="BN107" s="1">
        <f t="shared" si="105"/>
        <v>0</v>
      </c>
      <c r="BO107" s="1">
        <f t="shared" si="106"/>
        <v>0</v>
      </c>
      <c r="BP107" s="1">
        <f t="shared" si="107"/>
        <v>0</v>
      </c>
      <c r="BQ107" s="1">
        <f t="shared" si="108"/>
        <v>0</v>
      </c>
      <c r="BR107" s="1">
        <f t="shared" si="109"/>
        <v>0</v>
      </c>
      <c r="BS107" s="1">
        <f t="shared" si="110"/>
        <v>0</v>
      </c>
      <c r="BT107" s="1">
        <f t="shared" si="111"/>
        <v>0</v>
      </c>
      <c r="BU107" s="1">
        <f t="shared" si="48"/>
        <v>0</v>
      </c>
      <c r="BV107" s="1">
        <f t="shared" si="112"/>
        <v>0</v>
      </c>
      <c r="BW107" s="1">
        <f t="shared" si="113"/>
        <v>0</v>
      </c>
      <c r="BX107" s="1">
        <f t="shared" si="114"/>
        <v>0</v>
      </c>
      <c r="BY107" s="1">
        <f t="shared" si="115"/>
        <v>0</v>
      </c>
      <c r="BZ107" s="1">
        <f t="shared" si="116"/>
        <v>0</v>
      </c>
      <c r="CA107" s="1">
        <f t="shared" si="117"/>
        <v>0</v>
      </c>
      <c r="CB107" s="1">
        <f t="shared" si="118"/>
        <v>0</v>
      </c>
      <c r="CC107" s="1">
        <f t="shared" si="119"/>
        <v>0</v>
      </c>
      <c r="CD107" s="1">
        <f t="shared" si="120"/>
        <v>0</v>
      </c>
      <c r="CE107" s="1"/>
      <c r="CH107" s="1" t="s">
        <v>40</v>
      </c>
      <c r="CI107" s="1">
        <v>0</v>
      </c>
      <c r="CJ107" s="1">
        <v>0</v>
      </c>
      <c r="CK107" s="1">
        <v>0</v>
      </c>
      <c r="CL107" s="1">
        <v>0</v>
      </c>
      <c r="CM107" s="1">
        <v>0</v>
      </c>
      <c r="CN107" s="1">
        <v>0</v>
      </c>
      <c r="CO107" s="1">
        <v>0</v>
      </c>
      <c r="CP107" s="1">
        <v>0</v>
      </c>
      <c r="CQ107" s="1">
        <v>0</v>
      </c>
      <c r="CR107" s="1">
        <v>0</v>
      </c>
      <c r="CS107" s="1">
        <v>0</v>
      </c>
      <c r="CT107" s="1">
        <v>0</v>
      </c>
      <c r="CU107" s="1">
        <v>0</v>
      </c>
      <c r="CV107" s="1">
        <v>0</v>
      </c>
      <c r="CW107" s="1">
        <v>0</v>
      </c>
      <c r="CX107" s="1">
        <v>0</v>
      </c>
      <c r="CY107" s="1">
        <v>0</v>
      </c>
      <c r="CZ107" s="1">
        <v>0</v>
      </c>
      <c r="DA107" s="1">
        <v>0</v>
      </c>
      <c r="DB107" s="1">
        <v>0</v>
      </c>
      <c r="DC107" s="1">
        <v>0</v>
      </c>
      <c r="DD107" s="1">
        <v>0</v>
      </c>
      <c r="DE107" s="1">
        <v>0</v>
      </c>
      <c r="DF107" s="1">
        <v>0</v>
      </c>
      <c r="DG107" s="1">
        <v>0</v>
      </c>
      <c r="DH107" s="1">
        <v>0</v>
      </c>
      <c r="DI107" s="1">
        <v>0</v>
      </c>
      <c r="DJ107" s="1">
        <v>0</v>
      </c>
      <c r="DK107" s="1">
        <v>0</v>
      </c>
      <c r="DL107" s="1">
        <v>0</v>
      </c>
      <c r="DM107" s="1">
        <v>0</v>
      </c>
      <c r="DN107" s="1">
        <v>0</v>
      </c>
      <c r="DO107" s="1">
        <v>0</v>
      </c>
      <c r="DP107" s="1">
        <v>0</v>
      </c>
      <c r="DQ107" s="1">
        <v>0</v>
      </c>
      <c r="DR107" s="1">
        <v>0</v>
      </c>
      <c r="DS107" s="1">
        <v>0</v>
      </c>
      <c r="DT107" s="1">
        <v>0</v>
      </c>
      <c r="DU107" s="1">
        <v>0</v>
      </c>
      <c r="DV107" s="1">
        <v>0</v>
      </c>
      <c r="DW107" s="1">
        <v>0</v>
      </c>
      <c r="DX107" s="1">
        <v>0</v>
      </c>
      <c r="DY107" s="1">
        <v>0</v>
      </c>
      <c r="DZ107" s="1">
        <v>0</v>
      </c>
      <c r="EA107" s="1">
        <v>0</v>
      </c>
      <c r="EB107" s="1">
        <v>0</v>
      </c>
      <c r="EC107" s="1">
        <v>0</v>
      </c>
      <c r="ED107" s="1">
        <v>0</v>
      </c>
      <c r="EE107" s="1">
        <v>0</v>
      </c>
      <c r="EF107" s="1">
        <v>0</v>
      </c>
      <c r="EG107" s="1">
        <v>0</v>
      </c>
      <c r="EH107" s="1">
        <v>0</v>
      </c>
      <c r="EI107" s="1">
        <v>0</v>
      </c>
      <c r="EJ107" s="1">
        <v>0</v>
      </c>
      <c r="EK107" s="1">
        <v>12</v>
      </c>
      <c r="EL107" s="1">
        <v>0</v>
      </c>
      <c r="EM107" s="1">
        <v>0</v>
      </c>
      <c r="EN107" s="1">
        <v>0</v>
      </c>
      <c r="EO107" s="1">
        <v>0</v>
      </c>
      <c r="EP107" s="1">
        <v>0</v>
      </c>
      <c r="EQ107" s="1">
        <v>0</v>
      </c>
      <c r="ER107" s="1">
        <v>0</v>
      </c>
      <c r="ES107" s="1">
        <v>0</v>
      </c>
      <c r="ET107" s="1">
        <v>0</v>
      </c>
      <c r="EU107" s="1">
        <v>0</v>
      </c>
      <c r="EV107" s="1">
        <v>0</v>
      </c>
      <c r="EW107" s="1">
        <v>0</v>
      </c>
      <c r="EX107" s="1">
        <v>0</v>
      </c>
      <c r="EY107" s="1">
        <v>0</v>
      </c>
      <c r="EZ107" s="1">
        <v>0</v>
      </c>
      <c r="FA107" s="1">
        <v>0</v>
      </c>
      <c r="FB107" s="1">
        <v>0</v>
      </c>
      <c r="FC107" s="1">
        <v>0</v>
      </c>
      <c r="FD107" s="1">
        <v>0</v>
      </c>
      <c r="FE107" s="1">
        <f t="shared" si="46"/>
        <v>12</v>
      </c>
      <c r="FF107" s="1">
        <f>DG157</f>
        <v>0</v>
      </c>
      <c r="FG107" s="1">
        <f t="shared" si="47"/>
        <v>0</v>
      </c>
    </row>
    <row r="108" spans="8:163" ht="15.75" thickBot="1" x14ac:dyDescent="0.3">
      <c r="H108" s="1" t="s">
        <v>41</v>
      </c>
      <c r="I108" s="1">
        <f t="shared" si="45"/>
        <v>0</v>
      </c>
      <c r="J108" s="1">
        <f t="shared" si="49"/>
        <v>0</v>
      </c>
      <c r="K108" s="1">
        <f t="shared" si="50"/>
        <v>0</v>
      </c>
      <c r="L108" s="1">
        <f t="shared" si="51"/>
        <v>0</v>
      </c>
      <c r="M108" s="1">
        <f t="shared" si="52"/>
        <v>0</v>
      </c>
      <c r="N108" s="1">
        <f t="shared" si="53"/>
        <v>0</v>
      </c>
      <c r="O108" s="1">
        <f t="shared" si="54"/>
        <v>0</v>
      </c>
      <c r="P108" s="1">
        <f t="shared" si="55"/>
        <v>0</v>
      </c>
      <c r="Q108" s="1">
        <f t="shared" si="56"/>
        <v>0</v>
      </c>
      <c r="R108" s="1">
        <f t="shared" si="57"/>
        <v>0</v>
      </c>
      <c r="S108" s="1">
        <f t="shared" si="58"/>
        <v>0</v>
      </c>
      <c r="T108" s="1">
        <f t="shared" si="59"/>
        <v>0</v>
      </c>
      <c r="U108" s="1">
        <f t="shared" si="60"/>
        <v>0</v>
      </c>
      <c r="V108" s="1">
        <f t="shared" si="61"/>
        <v>0</v>
      </c>
      <c r="W108" s="1">
        <f t="shared" si="62"/>
        <v>0</v>
      </c>
      <c r="X108" s="1">
        <f t="shared" si="63"/>
        <v>0</v>
      </c>
      <c r="Y108" s="1">
        <f t="shared" si="64"/>
        <v>0</v>
      </c>
      <c r="Z108" s="1">
        <f t="shared" si="65"/>
        <v>0</v>
      </c>
      <c r="AA108" s="1">
        <f t="shared" si="66"/>
        <v>0</v>
      </c>
      <c r="AB108" s="1">
        <f t="shared" si="67"/>
        <v>0</v>
      </c>
      <c r="AC108" s="1">
        <f t="shared" si="68"/>
        <v>0</v>
      </c>
      <c r="AD108" s="1">
        <f t="shared" si="69"/>
        <v>0</v>
      </c>
      <c r="AE108" s="1">
        <f t="shared" si="70"/>
        <v>0</v>
      </c>
      <c r="AF108" s="1">
        <f t="shared" si="71"/>
        <v>0</v>
      </c>
      <c r="AG108" s="1">
        <f t="shared" si="72"/>
        <v>0</v>
      </c>
      <c r="AH108" s="1">
        <f t="shared" si="73"/>
        <v>0</v>
      </c>
      <c r="AI108" s="1">
        <f t="shared" si="74"/>
        <v>0</v>
      </c>
      <c r="AJ108" s="1">
        <f t="shared" si="75"/>
        <v>0</v>
      </c>
      <c r="AK108" s="1">
        <f t="shared" si="76"/>
        <v>0</v>
      </c>
      <c r="AL108" s="1">
        <f t="shared" si="77"/>
        <v>0</v>
      </c>
      <c r="AM108" s="1">
        <f t="shared" si="78"/>
        <v>0</v>
      </c>
      <c r="AN108" s="1">
        <f t="shared" si="79"/>
        <v>0</v>
      </c>
      <c r="AO108" s="1">
        <f t="shared" si="80"/>
        <v>0</v>
      </c>
      <c r="AP108" s="1">
        <f t="shared" si="81"/>
        <v>0</v>
      </c>
      <c r="AQ108" s="1">
        <f t="shared" si="82"/>
        <v>0</v>
      </c>
      <c r="AR108" s="1">
        <f t="shared" si="83"/>
        <v>0</v>
      </c>
      <c r="AS108" s="1">
        <f t="shared" si="84"/>
        <v>0</v>
      </c>
      <c r="AT108" s="1">
        <f t="shared" si="85"/>
        <v>0</v>
      </c>
      <c r="AU108" s="1">
        <f t="shared" si="86"/>
        <v>0</v>
      </c>
      <c r="AV108" s="1">
        <f t="shared" si="87"/>
        <v>0</v>
      </c>
      <c r="AW108" s="1">
        <f t="shared" si="88"/>
        <v>-60</v>
      </c>
      <c r="AX108" s="1">
        <f t="shared" si="89"/>
        <v>0</v>
      </c>
      <c r="AY108" s="1">
        <f t="shared" si="90"/>
        <v>0</v>
      </c>
      <c r="AZ108" s="1">
        <f t="shared" si="91"/>
        <v>0</v>
      </c>
      <c r="BA108" s="1">
        <f t="shared" si="92"/>
        <v>0</v>
      </c>
      <c r="BB108" s="1">
        <f t="shared" si="93"/>
        <v>0</v>
      </c>
      <c r="BC108" s="1">
        <f t="shared" si="94"/>
        <v>0</v>
      </c>
      <c r="BD108" s="1">
        <f t="shared" si="95"/>
        <v>0</v>
      </c>
      <c r="BE108" s="1">
        <f t="shared" si="96"/>
        <v>0</v>
      </c>
      <c r="BF108" s="1">
        <f t="shared" si="97"/>
        <v>0</v>
      </c>
      <c r="BG108" s="1">
        <f t="shared" si="98"/>
        <v>0</v>
      </c>
      <c r="BH108" s="1">
        <f t="shared" si="99"/>
        <v>0</v>
      </c>
      <c r="BI108" s="1">
        <f t="shared" si="100"/>
        <v>0</v>
      </c>
      <c r="BJ108" s="1">
        <f t="shared" si="101"/>
        <v>0</v>
      </c>
      <c r="BK108" s="1">
        <f t="shared" si="102"/>
        <v>0</v>
      </c>
      <c r="BL108" s="1">
        <f t="shared" si="103"/>
        <v>0</v>
      </c>
      <c r="BM108" s="1">
        <f t="shared" si="104"/>
        <v>0</v>
      </c>
      <c r="BN108" s="1">
        <f t="shared" si="105"/>
        <v>0</v>
      </c>
      <c r="BO108" s="1">
        <f t="shared" si="106"/>
        <v>0</v>
      </c>
      <c r="BP108" s="1">
        <f t="shared" si="107"/>
        <v>0</v>
      </c>
      <c r="BQ108" s="1">
        <f t="shared" si="108"/>
        <v>0</v>
      </c>
      <c r="BR108" s="1">
        <f t="shared" si="109"/>
        <v>0</v>
      </c>
      <c r="BS108" s="1">
        <f t="shared" si="110"/>
        <v>0</v>
      </c>
      <c r="BT108" s="1">
        <f t="shared" si="111"/>
        <v>0</v>
      </c>
      <c r="BU108" s="1">
        <f t="shared" si="48"/>
        <v>0</v>
      </c>
      <c r="BV108" s="1">
        <f t="shared" si="112"/>
        <v>0</v>
      </c>
      <c r="BW108" s="1">
        <f t="shared" si="113"/>
        <v>0</v>
      </c>
      <c r="BX108" s="1">
        <f t="shared" si="114"/>
        <v>0</v>
      </c>
      <c r="BY108" s="1">
        <f t="shared" si="115"/>
        <v>0</v>
      </c>
      <c r="BZ108" s="1">
        <f t="shared" si="116"/>
        <v>0</v>
      </c>
      <c r="CA108" s="1">
        <f t="shared" si="117"/>
        <v>0</v>
      </c>
      <c r="CB108" s="1">
        <f t="shared" si="118"/>
        <v>0</v>
      </c>
      <c r="CC108" s="1">
        <f t="shared" si="119"/>
        <v>0</v>
      </c>
      <c r="CD108" s="1">
        <f t="shared" si="120"/>
        <v>0</v>
      </c>
      <c r="CE108" s="1"/>
      <c r="CH108" s="1" t="s">
        <v>41</v>
      </c>
      <c r="CI108" s="1">
        <v>0</v>
      </c>
      <c r="CJ108" s="1">
        <v>0</v>
      </c>
      <c r="CK108" s="1">
        <v>0</v>
      </c>
      <c r="CL108" s="1">
        <v>0</v>
      </c>
      <c r="CM108" s="1">
        <v>0</v>
      </c>
      <c r="CN108" s="1">
        <v>0</v>
      </c>
      <c r="CO108" s="1">
        <v>0</v>
      </c>
      <c r="CP108" s="1">
        <v>0</v>
      </c>
      <c r="CQ108" s="1">
        <v>0</v>
      </c>
      <c r="CR108" s="1">
        <v>0</v>
      </c>
      <c r="CS108" s="1">
        <v>0</v>
      </c>
      <c r="CT108" s="1">
        <v>0</v>
      </c>
      <c r="CU108" s="1">
        <v>0</v>
      </c>
      <c r="CV108" s="1">
        <v>0</v>
      </c>
      <c r="CW108" s="1">
        <v>0</v>
      </c>
      <c r="CX108" s="1">
        <v>0</v>
      </c>
      <c r="CY108" s="1">
        <v>0</v>
      </c>
      <c r="CZ108" s="1">
        <v>0</v>
      </c>
      <c r="DA108" s="1">
        <v>0</v>
      </c>
      <c r="DB108" s="1">
        <v>0</v>
      </c>
      <c r="DC108" s="1">
        <v>0</v>
      </c>
      <c r="DD108" s="1">
        <v>0</v>
      </c>
      <c r="DE108" s="1">
        <v>0</v>
      </c>
      <c r="DF108" s="1">
        <v>0</v>
      </c>
      <c r="DG108" s="1">
        <v>0</v>
      </c>
      <c r="DH108" s="1">
        <v>0</v>
      </c>
      <c r="DI108" s="1">
        <v>0</v>
      </c>
      <c r="DJ108" s="1">
        <v>0</v>
      </c>
      <c r="DK108" s="1">
        <v>0</v>
      </c>
      <c r="DL108" s="1">
        <v>0</v>
      </c>
      <c r="DM108" s="1">
        <v>0</v>
      </c>
      <c r="DN108" s="1">
        <v>0</v>
      </c>
      <c r="DO108" s="1">
        <v>0</v>
      </c>
      <c r="DP108" s="1">
        <v>0</v>
      </c>
      <c r="DQ108" s="1">
        <v>0</v>
      </c>
      <c r="DR108" s="1">
        <v>0</v>
      </c>
      <c r="DS108" s="1">
        <v>0</v>
      </c>
      <c r="DT108" s="1">
        <v>0</v>
      </c>
      <c r="DU108" s="1">
        <v>0</v>
      </c>
      <c r="DV108" s="1">
        <v>0</v>
      </c>
      <c r="DW108" s="1">
        <v>10</v>
      </c>
      <c r="DX108" s="1">
        <v>0</v>
      </c>
      <c r="DY108" s="1">
        <v>0</v>
      </c>
      <c r="DZ108" s="1">
        <v>0</v>
      </c>
      <c r="EA108" s="1">
        <v>0</v>
      </c>
      <c r="EB108" s="1">
        <v>0</v>
      </c>
      <c r="EC108" s="1">
        <v>0</v>
      </c>
      <c r="ED108" s="1">
        <v>0</v>
      </c>
      <c r="EE108" s="1">
        <v>0</v>
      </c>
      <c r="EF108" s="1">
        <v>0</v>
      </c>
      <c r="EG108" s="1">
        <v>0</v>
      </c>
      <c r="EH108" s="1">
        <v>0</v>
      </c>
      <c r="EI108" s="1">
        <v>0</v>
      </c>
      <c r="EJ108" s="1">
        <v>0</v>
      </c>
      <c r="EK108" s="1">
        <v>0</v>
      </c>
      <c r="EL108" s="1">
        <v>0</v>
      </c>
      <c r="EM108" s="1">
        <v>0</v>
      </c>
      <c r="EN108" s="1">
        <v>0</v>
      </c>
      <c r="EO108" s="1">
        <v>0</v>
      </c>
      <c r="EP108" s="1">
        <v>0</v>
      </c>
      <c r="EQ108" s="1">
        <v>0</v>
      </c>
      <c r="ER108" s="1">
        <v>0</v>
      </c>
      <c r="ES108" s="1">
        <v>0</v>
      </c>
      <c r="ET108" s="1">
        <v>0</v>
      </c>
      <c r="EU108" s="1">
        <v>0</v>
      </c>
      <c r="EV108" s="1">
        <v>0</v>
      </c>
      <c r="EW108" s="1">
        <v>0</v>
      </c>
      <c r="EX108" s="1">
        <v>0</v>
      </c>
      <c r="EY108" s="1">
        <v>0</v>
      </c>
      <c r="EZ108" s="1">
        <v>0</v>
      </c>
      <c r="FA108" s="1">
        <v>0</v>
      </c>
      <c r="FB108" s="1">
        <v>0</v>
      </c>
      <c r="FC108" s="1">
        <v>0</v>
      </c>
      <c r="FD108" s="1">
        <v>0</v>
      </c>
      <c r="FE108" s="1">
        <f t="shared" si="46"/>
        <v>10</v>
      </c>
      <c r="FF108" s="1">
        <f>DH157</f>
        <v>0</v>
      </c>
      <c r="FG108" s="1">
        <f t="shared" si="47"/>
        <v>0</v>
      </c>
    </row>
    <row r="109" spans="8:163" ht="15.75" thickBot="1" x14ac:dyDescent="0.3">
      <c r="H109" s="1" t="s">
        <v>42</v>
      </c>
      <c r="I109" s="1">
        <f t="shared" si="45"/>
        <v>0</v>
      </c>
      <c r="J109" s="1">
        <f t="shared" si="49"/>
        <v>0</v>
      </c>
      <c r="K109" s="1">
        <f t="shared" si="50"/>
        <v>0</v>
      </c>
      <c r="L109" s="1">
        <f t="shared" si="51"/>
        <v>0</v>
      </c>
      <c r="M109" s="1">
        <f t="shared" si="52"/>
        <v>0</v>
      </c>
      <c r="N109" s="1">
        <f t="shared" si="53"/>
        <v>-5</v>
      </c>
      <c r="O109" s="1">
        <f t="shared" si="54"/>
        <v>0</v>
      </c>
      <c r="P109" s="1">
        <f t="shared" si="55"/>
        <v>0</v>
      </c>
      <c r="Q109" s="1">
        <f t="shared" si="56"/>
        <v>0</v>
      </c>
      <c r="R109" s="1">
        <f t="shared" si="57"/>
        <v>0</v>
      </c>
      <c r="S109" s="1">
        <f t="shared" si="58"/>
        <v>0</v>
      </c>
      <c r="T109" s="1">
        <f t="shared" si="59"/>
        <v>0</v>
      </c>
      <c r="U109" s="1">
        <f t="shared" si="60"/>
        <v>0</v>
      </c>
      <c r="V109" s="1">
        <f t="shared" si="61"/>
        <v>0</v>
      </c>
      <c r="W109" s="1">
        <f t="shared" si="62"/>
        <v>0</v>
      </c>
      <c r="X109" s="1">
        <f t="shared" si="63"/>
        <v>0</v>
      </c>
      <c r="Y109" s="1">
        <f t="shared" si="64"/>
        <v>0</v>
      </c>
      <c r="Z109" s="1">
        <f t="shared" si="65"/>
        <v>0</v>
      </c>
      <c r="AA109" s="1">
        <f t="shared" si="66"/>
        <v>0</v>
      </c>
      <c r="AB109" s="1">
        <f t="shared" si="67"/>
        <v>0</v>
      </c>
      <c r="AC109" s="1">
        <f t="shared" si="68"/>
        <v>0</v>
      </c>
      <c r="AD109" s="1">
        <f t="shared" si="69"/>
        <v>0</v>
      </c>
      <c r="AE109" s="1">
        <f t="shared" si="70"/>
        <v>0</v>
      </c>
      <c r="AF109" s="1">
        <f t="shared" si="71"/>
        <v>0</v>
      </c>
      <c r="AG109" s="1">
        <f t="shared" si="72"/>
        <v>0</v>
      </c>
      <c r="AH109" s="1">
        <f t="shared" si="73"/>
        <v>0</v>
      </c>
      <c r="AI109" s="1">
        <f t="shared" si="74"/>
        <v>0</v>
      </c>
      <c r="AJ109" s="1">
        <f t="shared" si="75"/>
        <v>0</v>
      </c>
      <c r="AK109" s="1">
        <f t="shared" si="76"/>
        <v>0</v>
      </c>
      <c r="AL109" s="1">
        <f t="shared" si="77"/>
        <v>0</v>
      </c>
      <c r="AM109" s="1">
        <f t="shared" si="78"/>
        <v>0</v>
      </c>
      <c r="AN109" s="1">
        <f t="shared" si="79"/>
        <v>0</v>
      </c>
      <c r="AO109" s="1">
        <f t="shared" si="80"/>
        <v>0</v>
      </c>
      <c r="AP109" s="1">
        <f t="shared" si="81"/>
        <v>0</v>
      </c>
      <c r="AQ109" s="1">
        <f t="shared" si="82"/>
        <v>0</v>
      </c>
      <c r="AR109" s="1">
        <f t="shared" si="83"/>
        <v>0</v>
      </c>
      <c r="AS109" s="1">
        <f t="shared" si="84"/>
        <v>0</v>
      </c>
      <c r="AT109" s="1">
        <f t="shared" si="85"/>
        <v>0</v>
      </c>
      <c r="AU109" s="1">
        <f t="shared" si="86"/>
        <v>0</v>
      </c>
      <c r="AV109" s="1">
        <f t="shared" si="87"/>
        <v>0</v>
      </c>
      <c r="AW109" s="1">
        <f t="shared" si="88"/>
        <v>0</v>
      </c>
      <c r="AX109" s="1">
        <f t="shared" si="89"/>
        <v>0</v>
      </c>
      <c r="AY109" s="1">
        <f t="shared" si="90"/>
        <v>0</v>
      </c>
      <c r="AZ109" s="1">
        <f t="shared" si="91"/>
        <v>0</v>
      </c>
      <c r="BA109" s="1">
        <f t="shared" si="92"/>
        <v>0</v>
      </c>
      <c r="BB109" s="1">
        <f t="shared" si="93"/>
        <v>0</v>
      </c>
      <c r="BC109" s="1">
        <f t="shared" si="94"/>
        <v>0</v>
      </c>
      <c r="BD109" s="1">
        <f t="shared" si="95"/>
        <v>0</v>
      </c>
      <c r="BE109" s="1">
        <f t="shared" si="96"/>
        <v>0</v>
      </c>
      <c r="BF109" s="1">
        <f t="shared" si="97"/>
        <v>0</v>
      </c>
      <c r="BG109" s="1">
        <f t="shared" si="98"/>
        <v>0</v>
      </c>
      <c r="BH109" s="1">
        <f t="shared" si="99"/>
        <v>0</v>
      </c>
      <c r="BI109" s="1">
        <f t="shared" si="100"/>
        <v>0</v>
      </c>
      <c r="BJ109" s="1">
        <f t="shared" si="101"/>
        <v>0</v>
      </c>
      <c r="BK109" s="1">
        <f t="shared" si="102"/>
        <v>0</v>
      </c>
      <c r="BL109" s="1">
        <f t="shared" si="103"/>
        <v>0</v>
      </c>
      <c r="BM109" s="1">
        <f t="shared" si="104"/>
        <v>0</v>
      </c>
      <c r="BN109" s="1">
        <f t="shared" si="105"/>
        <v>0</v>
      </c>
      <c r="BO109" s="1">
        <f t="shared" si="106"/>
        <v>0</v>
      </c>
      <c r="BP109" s="1">
        <f t="shared" si="107"/>
        <v>0</v>
      </c>
      <c r="BQ109" s="1">
        <f t="shared" si="108"/>
        <v>0</v>
      </c>
      <c r="BR109" s="1">
        <f t="shared" si="109"/>
        <v>0</v>
      </c>
      <c r="BS109" s="1">
        <f t="shared" si="110"/>
        <v>0</v>
      </c>
      <c r="BT109" s="1">
        <f t="shared" si="111"/>
        <v>0</v>
      </c>
      <c r="BU109" s="1">
        <f t="shared" si="48"/>
        <v>0</v>
      </c>
      <c r="BV109" s="1">
        <f t="shared" si="112"/>
        <v>0</v>
      </c>
      <c r="BW109" s="1">
        <f t="shared" si="113"/>
        <v>0</v>
      </c>
      <c r="BX109" s="1">
        <f t="shared" si="114"/>
        <v>0</v>
      </c>
      <c r="BY109" s="1">
        <f t="shared" si="115"/>
        <v>0</v>
      </c>
      <c r="BZ109" s="1">
        <f t="shared" si="116"/>
        <v>0</v>
      </c>
      <c r="CA109" s="1">
        <f t="shared" si="117"/>
        <v>0</v>
      </c>
      <c r="CB109" s="1">
        <f t="shared" si="118"/>
        <v>0</v>
      </c>
      <c r="CC109" s="1">
        <f t="shared" si="119"/>
        <v>0</v>
      </c>
      <c r="CD109" s="1">
        <f t="shared" si="120"/>
        <v>0</v>
      </c>
      <c r="CE109" s="1"/>
      <c r="CH109" s="1" t="s">
        <v>42</v>
      </c>
      <c r="CI109" s="1">
        <v>0</v>
      </c>
      <c r="CJ109" s="1">
        <v>0</v>
      </c>
      <c r="CK109" s="1">
        <v>0</v>
      </c>
      <c r="CL109" s="1">
        <v>0</v>
      </c>
      <c r="CM109" s="1">
        <v>0</v>
      </c>
      <c r="CN109" s="1">
        <v>65</v>
      </c>
      <c r="CO109" s="1">
        <v>0</v>
      </c>
      <c r="CP109" s="1">
        <v>0</v>
      </c>
      <c r="CQ109" s="1">
        <v>0</v>
      </c>
      <c r="CR109" s="1">
        <v>0</v>
      </c>
      <c r="CS109" s="1">
        <v>0</v>
      </c>
      <c r="CT109" s="1">
        <v>0</v>
      </c>
      <c r="CU109" s="1">
        <v>0</v>
      </c>
      <c r="CV109" s="1">
        <v>0</v>
      </c>
      <c r="CW109" s="1">
        <v>0</v>
      </c>
      <c r="CX109" s="1">
        <v>0</v>
      </c>
      <c r="CY109" s="1">
        <v>0</v>
      </c>
      <c r="CZ109" s="1">
        <v>0</v>
      </c>
      <c r="DA109" s="1">
        <v>0</v>
      </c>
      <c r="DB109" s="1">
        <v>0</v>
      </c>
      <c r="DC109" s="1">
        <v>0</v>
      </c>
      <c r="DD109" s="1">
        <v>0</v>
      </c>
      <c r="DE109" s="1">
        <v>0</v>
      </c>
      <c r="DF109" s="1">
        <v>0</v>
      </c>
      <c r="DG109" s="1">
        <v>0</v>
      </c>
      <c r="DH109" s="1">
        <v>0</v>
      </c>
      <c r="DI109" s="1">
        <v>0</v>
      </c>
      <c r="DJ109" s="1">
        <v>0</v>
      </c>
      <c r="DK109" s="1">
        <v>0</v>
      </c>
      <c r="DL109" s="1">
        <v>0</v>
      </c>
      <c r="DM109" s="1">
        <v>0</v>
      </c>
      <c r="DN109" s="1">
        <v>0</v>
      </c>
      <c r="DO109" s="1">
        <v>0</v>
      </c>
      <c r="DP109" s="1">
        <v>0</v>
      </c>
      <c r="DQ109" s="1">
        <v>0</v>
      </c>
      <c r="DR109" s="1">
        <v>0</v>
      </c>
      <c r="DS109" s="1">
        <v>0</v>
      </c>
      <c r="DT109" s="1">
        <v>0</v>
      </c>
      <c r="DU109" s="1">
        <v>0</v>
      </c>
      <c r="DV109" s="1">
        <v>0</v>
      </c>
      <c r="DW109" s="1">
        <v>0</v>
      </c>
      <c r="DX109" s="1">
        <v>0</v>
      </c>
      <c r="DY109" s="1">
        <v>0</v>
      </c>
      <c r="DZ109" s="1">
        <v>0</v>
      </c>
      <c r="EA109" s="1">
        <v>0</v>
      </c>
      <c r="EB109" s="1">
        <v>0</v>
      </c>
      <c r="EC109" s="1">
        <v>0</v>
      </c>
      <c r="ED109" s="1">
        <v>0</v>
      </c>
      <c r="EE109" s="1">
        <v>0</v>
      </c>
      <c r="EF109" s="1">
        <v>0</v>
      </c>
      <c r="EG109" s="1">
        <v>0</v>
      </c>
      <c r="EH109" s="1">
        <v>0</v>
      </c>
      <c r="EI109" s="1">
        <v>0</v>
      </c>
      <c r="EJ109" s="1">
        <v>0</v>
      </c>
      <c r="EK109" s="1">
        <v>0</v>
      </c>
      <c r="EL109" s="1">
        <v>0</v>
      </c>
      <c r="EM109" s="1">
        <v>0</v>
      </c>
      <c r="EN109" s="1">
        <v>0</v>
      </c>
      <c r="EO109" s="1">
        <v>0</v>
      </c>
      <c r="EP109" s="1">
        <v>0</v>
      </c>
      <c r="EQ109" s="1">
        <v>0</v>
      </c>
      <c r="ER109" s="1">
        <v>0</v>
      </c>
      <c r="ES109" s="1">
        <v>0</v>
      </c>
      <c r="ET109" s="1">
        <v>0</v>
      </c>
      <c r="EU109" s="1">
        <v>0</v>
      </c>
      <c r="EV109" s="1">
        <v>0</v>
      </c>
      <c r="EW109" s="1">
        <v>0</v>
      </c>
      <c r="EX109" s="1">
        <v>0</v>
      </c>
      <c r="EY109" s="1">
        <v>0</v>
      </c>
      <c r="EZ109" s="1">
        <v>0</v>
      </c>
      <c r="FA109" s="1">
        <v>0</v>
      </c>
      <c r="FB109" s="1">
        <v>0</v>
      </c>
      <c r="FC109" s="1">
        <v>0</v>
      </c>
      <c r="FD109" s="1">
        <v>0</v>
      </c>
      <c r="FE109" s="1">
        <f t="shared" si="46"/>
        <v>65</v>
      </c>
      <c r="FF109" s="1">
        <f>DI157</f>
        <v>62</v>
      </c>
      <c r="FG109" s="1">
        <f t="shared" si="47"/>
        <v>0</v>
      </c>
    </row>
    <row r="110" spans="8:163" ht="15.75" thickBot="1" x14ac:dyDescent="0.3">
      <c r="H110" s="1" t="s">
        <v>43</v>
      </c>
      <c r="I110" s="1">
        <f t="shared" si="45"/>
        <v>0</v>
      </c>
      <c r="J110" s="1">
        <f t="shared" si="49"/>
        <v>0</v>
      </c>
      <c r="K110" s="1">
        <f t="shared" si="50"/>
        <v>0</v>
      </c>
      <c r="L110" s="1">
        <f t="shared" si="51"/>
        <v>0</v>
      </c>
      <c r="M110" s="1">
        <f t="shared" si="52"/>
        <v>-14</v>
      </c>
      <c r="N110" s="1">
        <f t="shared" si="53"/>
        <v>0</v>
      </c>
      <c r="O110" s="1">
        <f t="shared" si="54"/>
        <v>0</v>
      </c>
      <c r="P110" s="1">
        <f t="shared" si="55"/>
        <v>0</v>
      </c>
      <c r="Q110" s="1">
        <f t="shared" si="56"/>
        <v>0</v>
      </c>
      <c r="R110" s="1">
        <f t="shared" si="57"/>
        <v>0</v>
      </c>
      <c r="S110" s="1">
        <f t="shared" si="58"/>
        <v>0</v>
      </c>
      <c r="T110" s="1">
        <f t="shared" si="59"/>
        <v>0</v>
      </c>
      <c r="U110" s="1">
        <f t="shared" si="60"/>
        <v>0</v>
      </c>
      <c r="V110" s="1">
        <f t="shared" si="61"/>
        <v>0</v>
      </c>
      <c r="W110" s="1">
        <f t="shared" si="62"/>
        <v>0</v>
      </c>
      <c r="X110" s="1">
        <f t="shared" si="63"/>
        <v>0</v>
      </c>
      <c r="Y110" s="1">
        <f t="shared" si="64"/>
        <v>0</v>
      </c>
      <c r="Z110" s="1">
        <f t="shared" si="65"/>
        <v>0</v>
      </c>
      <c r="AA110" s="1">
        <f t="shared" si="66"/>
        <v>0</v>
      </c>
      <c r="AB110" s="1">
        <f t="shared" si="67"/>
        <v>0</v>
      </c>
      <c r="AC110" s="1">
        <f t="shared" si="68"/>
        <v>0</v>
      </c>
      <c r="AD110" s="1">
        <f t="shared" si="69"/>
        <v>0</v>
      </c>
      <c r="AE110" s="1">
        <f t="shared" si="70"/>
        <v>0</v>
      </c>
      <c r="AF110" s="1">
        <f t="shared" si="71"/>
        <v>0</v>
      </c>
      <c r="AG110" s="1">
        <f t="shared" si="72"/>
        <v>0</v>
      </c>
      <c r="AH110" s="1">
        <f t="shared" si="73"/>
        <v>0</v>
      </c>
      <c r="AI110" s="1">
        <f t="shared" si="74"/>
        <v>0</v>
      </c>
      <c r="AJ110" s="1">
        <f t="shared" si="75"/>
        <v>0</v>
      </c>
      <c r="AK110" s="1">
        <f t="shared" si="76"/>
        <v>0</v>
      </c>
      <c r="AL110" s="1">
        <f t="shared" si="77"/>
        <v>0</v>
      </c>
      <c r="AM110" s="1">
        <f t="shared" si="78"/>
        <v>0</v>
      </c>
      <c r="AN110" s="1">
        <f t="shared" si="79"/>
        <v>0</v>
      </c>
      <c r="AO110" s="1">
        <f t="shared" si="80"/>
        <v>0</v>
      </c>
      <c r="AP110" s="1">
        <f t="shared" si="81"/>
        <v>0</v>
      </c>
      <c r="AQ110" s="1">
        <f t="shared" si="82"/>
        <v>0</v>
      </c>
      <c r="AR110" s="1">
        <f t="shared" si="83"/>
        <v>0</v>
      </c>
      <c r="AS110" s="1">
        <f t="shared" si="84"/>
        <v>0</v>
      </c>
      <c r="AT110" s="1">
        <f t="shared" si="85"/>
        <v>0</v>
      </c>
      <c r="AU110" s="1">
        <f t="shared" si="86"/>
        <v>0</v>
      </c>
      <c r="AV110" s="1">
        <f t="shared" si="87"/>
        <v>0</v>
      </c>
      <c r="AW110" s="1">
        <f t="shared" si="88"/>
        <v>0</v>
      </c>
      <c r="AX110" s="1">
        <f t="shared" si="89"/>
        <v>0</v>
      </c>
      <c r="AY110" s="1">
        <f t="shared" si="90"/>
        <v>0</v>
      </c>
      <c r="AZ110" s="1">
        <f t="shared" si="91"/>
        <v>0</v>
      </c>
      <c r="BA110" s="1">
        <f t="shared" si="92"/>
        <v>0</v>
      </c>
      <c r="BB110" s="1">
        <f t="shared" si="93"/>
        <v>0</v>
      </c>
      <c r="BC110" s="1">
        <f t="shared" si="94"/>
        <v>0</v>
      </c>
      <c r="BD110" s="1">
        <f t="shared" si="95"/>
        <v>0</v>
      </c>
      <c r="BE110" s="1">
        <f t="shared" si="96"/>
        <v>0</v>
      </c>
      <c r="BF110" s="1">
        <f t="shared" si="97"/>
        <v>0</v>
      </c>
      <c r="BG110" s="1">
        <f t="shared" si="98"/>
        <v>0</v>
      </c>
      <c r="BH110" s="1">
        <f t="shared" si="99"/>
        <v>0</v>
      </c>
      <c r="BI110" s="1">
        <f t="shared" si="100"/>
        <v>0</v>
      </c>
      <c r="BJ110" s="1">
        <f t="shared" si="101"/>
        <v>0</v>
      </c>
      <c r="BK110" s="1">
        <f t="shared" si="102"/>
        <v>0</v>
      </c>
      <c r="BL110" s="1">
        <f t="shared" si="103"/>
        <v>0</v>
      </c>
      <c r="BM110" s="1">
        <f t="shared" si="104"/>
        <v>0</v>
      </c>
      <c r="BN110" s="1">
        <f t="shared" si="105"/>
        <v>0</v>
      </c>
      <c r="BO110" s="1">
        <f t="shared" si="106"/>
        <v>0</v>
      </c>
      <c r="BP110" s="1">
        <f t="shared" si="107"/>
        <v>0</v>
      </c>
      <c r="BQ110" s="1">
        <f t="shared" si="108"/>
        <v>0</v>
      </c>
      <c r="BR110" s="1">
        <f t="shared" si="109"/>
        <v>0</v>
      </c>
      <c r="BS110" s="1">
        <f t="shared" si="110"/>
        <v>0</v>
      </c>
      <c r="BT110" s="1">
        <f t="shared" si="111"/>
        <v>0</v>
      </c>
      <c r="BU110" s="1">
        <f t="shared" si="48"/>
        <v>0</v>
      </c>
      <c r="BV110" s="1">
        <f t="shared" si="112"/>
        <v>0</v>
      </c>
      <c r="BW110" s="1">
        <f t="shared" si="113"/>
        <v>0</v>
      </c>
      <c r="BX110" s="1">
        <f t="shared" si="114"/>
        <v>0</v>
      </c>
      <c r="BY110" s="1">
        <f t="shared" si="115"/>
        <v>0</v>
      </c>
      <c r="BZ110" s="1">
        <f t="shared" si="116"/>
        <v>0</v>
      </c>
      <c r="CA110" s="1">
        <f t="shared" si="117"/>
        <v>0</v>
      </c>
      <c r="CB110" s="1">
        <f t="shared" si="118"/>
        <v>0</v>
      </c>
      <c r="CC110" s="1">
        <f t="shared" si="119"/>
        <v>0</v>
      </c>
      <c r="CD110" s="1">
        <f t="shared" si="120"/>
        <v>0</v>
      </c>
      <c r="CE110" s="1"/>
      <c r="CH110" s="1" t="s">
        <v>43</v>
      </c>
      <c r="CI110" s="1">
        <v>0</v>
      </c>
      <c r="CJ110" s="1">
        <v>0</v>
      </c>
      <c r="CK110" s="1">
        <v>0</v>
      </c>
      <c r="CL110" s="1">
        <v>0</v>
      </c>
      <c r="CM110" s="1">
        <v>56</v>
      </c>
      <c r="CN110" s="1">
        <v>0</v>
      </c>
      <c r="CO110" s="1">
        <v>0</v>
      </c>
      <c r="CP110" s="1">
        <v>0</v>
      </c>
      <c r="CQ110" s="1">
        <v>0</v>
      </c>
      <c r="CR110" s="1">
        <v>0</v>
      </c>
      <c r="CS110" s="1">
        <v>0</v>
      </c>
      <c r="CT110" s="1">
        <v>0</v>
      </c>
      <c r="CU110" s="1">
        <v>0</v>
      </c>
      <c r="CV110" s="1">
        <v>0</v>
      </c>
      <c r="CW110" s="1">
        <v>0</v>
      </c>
      <c r="CX110" s="1">
        <v>0</v>
      </c>
      <c r="CY110" s="1">
        <v>0</v>
      </c>
      <c r="CZ110" s="1">
        <v>0</v>
      </c>
      <c r="DA110" s="1">
        <v>0</v>
      </c>
      <c r="DB110" s="1">
        <v>0</v>
      </c>
      <c r="DC110" s="1">
        <v>0</v>
      </c>
      <c r="DD110" s="1">
        <v>0</v>
      </c>
      <c r="DE110" s="1">
        <v>0</v>
      </c>
      <c r="DF110" s="1">
        <v>0</v>
      </c>
      <c r="DG110" s="1">
        <v>0</v>
      </c>
      <c r="DH110" s="1">
        <v>0</v>
      </c>
      <c r="DI110" s="1">
        <v>0</v>
      </c>
      <c r="DJ110" s="1">
        <v>0</v>
      </c>
      <c r="DK110" s="1">
        <v>0</v>
      </c>
      <c r="DL110" s="1">
        <v>0</v>
      </c>
      <c r="DM110" s="1">
        <v>0</v>
      </c>
      <c r="DN110" s="1">
        <v>0</v>
      </c>
      <c r="DO110" s="1">
        <v>0</v>
      </c>
      <c r="DP110" s="1">
        <v>0</v>
      </c>
      <c r="DQ110" s="1">
        <v>0</v>
      </c>
      <c r="DR110" s="1">
        <v>0</v>
      </c>
      <c r="DS110" s="1">
        <v>0</v>
      </c>
      <c r="DT110" s="1">
        <v>0</v>
      </c>
      <c r="DU110" s="1">
        <v>0</v>
      </c>
      <c r="DV110" s="1">
        <v>0</v>
      </c>
      <c r="DW110" s="1">
        <v>0</v>
      </c>
      <c r="DX110" s="1">
        <v>0</v>
      </c>
      <c r="DY110" s="1">
        <v>0</v>
      </c>
      <c r="DZ110" s="1">
        <v>0</v>
      </c>
      <c r="EA110" s="1">
        <v>0</v>
      </c>
      <c r="EB110" s="1">
        <v>0</v>
      </c>
      <c r="EC110" s="1">
        <v>0</v>
      </c>
      <c r="ED110" s="1">
        <v>0</v>
      </c>
      <c r="EE110" s="1">
        <v>0</v>
      </c>
      <c r="EF110" s="1">
        <v>0</v>
      </c>
      <c r="EG110" s="1">
        <v>0</v>
      </c>
      <c r="EH110" s="1">
        <v>0</v>
      </c>
      <c r="EI110" s="1">
        <v>0</v>
      </c>
      <c r="EJ110" s="1">
        <v>0</v>
      </c>
      <c r="EK110" s="1">
        <v>0</v>
      </c>
      <c r="EL110" s="1">
        <v>0</v>
      </c>
      <c r="EM110" s="1">
        <v>0</v>
      </c>
      <c r="EN110" s="1">
        <v>0</v>
      </c>
      <c r="EO110" s="1">
        <v>0</v>
      </c>
      <c r="EP110" s="1">
        <v>0</v>
      </c>
      <c r="EQ110" s="1">
        <v>0</v>
      </c>
      <c r="ER110" s="1">
        <v>0</v>
      </c>
      <c r="ES110" s="1">
        <v>0</v>
      </c>
      <c r="ET110" s="1">
        <v>0</v>
      </c>
      <c r="EU110" s="1">
        <v>0</v>
      </c>
      <c r="EV110" s="1">
        <v>0</v>
      </c>
      <c r="EW110" s="1">
        <v>0</v>
      </c>
      <c r="EX110" s="1">
        <v>0</v>
      </c>
      <c r="EY110" s="1">
        <v>0</v>
      </c>
      <c r="EZ110" s="1">
        <v>0</v>
      </c>
      <c r="FA110" s="1">
        <v>0</v>
      </c>
      <c r="FB110" s="1">
        <v>0</v>
      </c>
      <c r="FC110" s="1">
        <v>0</v>
      </c>
      <c r="FD110" s="1">
        <v>0</v>
      </c>
      <c r="FE110" s="1">
        <f t="shared" si="46"/>
        <v>56</v>
      </c>
      <c r="FF110" s="1">
        <f>DJ157</f>
        <v>52</v>
      </c>
      <c r="FG110" s="1">
        <f t="shared" si="47"/>
        <v>0</v>
      </c>
    </row>
    <row r="111" spans="8:163" ht="15.75" thickBot="1" x14ac:dyDescent="0.3">
      <c r="H111" s="1" t="s">
        <v>44</v>
      </c>
      <c r="I111" s="1">
        <f t="shared" si="45"/>
        <v>0</v>
      </c>
      <c r="J111" s="1">
        <f t="shared" si="49"/>
        <v>0</v>
      </c>
      <c r="K111" s="1">
        <f t="shared" si="50"/>
        <v>0</v>
      </c>
      <c r="L111" s="1">
        <f t="shared" si="51"/>
        <v>0</v>
      </c>
      <c r="M111" s="1">
        <f t="shared" si="52"/>
        <v>0</v>
      </c>
      <c r="N111" s="1">
        <f t="shared" si="53"/>
        <v>0</v>
      </c>
      <c r="O111" s="1">
        <f t="shared" si="54"/>
        <v>0</v>
      </c>
      <c r="P111" s="1">
        <f t="shared" si="55"/>
        <v>0</v>
      </c>
      <c r="Q111" s="1">
        <f t="shared" si="56"/>
        <v>0</v>
      </c>
      <c r="R111" s="1">
        <f t="shared" si="57"/>
        <v>0</v>
      </c>
      <c r="S111" s="1">
        <f t="shared" si="58"/>
        <v>0</v>
      </c>
      <c r="T111" s="1">
        <f t="shared" si="59"/>
        <v>0</v>
      </c>
      <c r="U111" s="1">
        <f t="shared" si="60"/>
        <v>0</v>
      </c>
      <c r="V111" s="1">
        <f t="shared" si="61"/>
        <v>0</v>
      </c>
      <c r="W111" s="1">
        <f t="shared" si="62"/>
        <v>0</v>
      </c>
      <c r="X111" s="1">
        <f t="shared" si="63"/>
        <v>0</v>
      </c>
      <c r="Y111" s="1">
        <f t="shared" si="64"/>
        <v>0</v>
      </c>
      <c r="Z111" s="1">
        <f t="shared" si="65"/>
        <v>0</v>
      </c>
      <c r="AA111" s="1">
        <f t="shared" si="66"/>
        <v>0</v>
      </c>
      <c r="AB111" s="1">
        <f t="shared" si="67"/>
        <v>0</v>
      </c>
      <c r="AC111" s="1">
        <f t="shared" si="68"/>
        <v>0</v>
      </c>
      <c r="AD111" s="1">
        <f t="shared" si="69"/>
        <v>0</v>
      </c>
      <c r="AE111" s="1">
        <f t="shared" si="70"/>
        <v>0</v>
      </c>
      <c r="AF111" s="1">
        <f t="shared" si="71"/>
        <v>0</v>
      </c>
      <c r="AG111" s="1">
        <f t="shared" si="72"/>
        <v>0</v>
      </c>
      <c r="AH111" s="1">
        <f t="shared" si="73"/>
        <v>0</v>
      </c>
      <c r="AI111" s="1">
        <f t="shared" si="74"/>
        <v>0</v>
      </c>
      <c r="AJ111" s="1">
        <f t="shared" si="75"/>
        <v>0</v>
      </c>
      <c r="AK111" s="1">
        <f t="shared" si="76"/>
        <v>0</v>
      </c>
      <c r="AL111" s="1">
        <f t="shared" si="77"/>
        <v>0</v>
      </c>
      <c r="AM111" s="1">
        <f t="shared" si="78"/>
        <v>-58</v>
      </c>
      <c r="AN111" s="1">
        <f t="shared" si="79"/>
        <v>0</v>
      </c>
      <c r="AO111" s="1">
        <f t="shared" si="80"/>
        <v>0</v>
      </c>
      <c r="AP111" s="1">
        <f t="shared" si="81"/>
        <v>0</v>
      </c>
      <c r="AQ111" s="1">
        <f t="shared" si="82"/>
        <v>0</v>
      </c>
      <c r="AR111" s="1">
        <f t="shared" si="83"/>
        <v>0</v>
      </c>
      <c r="AS111" s="1">
        <f t="shared" si="84"/>
        <v>0</v>
      </c>
      <c r="AT111" s="1">
        <f t="shared" si="85"/>
        <v>0</v>
      </c>
      <c r="AU111" s="1">
        <f t="shared" si="86"/>
        <v>0</v>
      </c>
      <c r="AV111" s="1">
        <f t="shared" si="87"/>
        <v>0</v>
      </c>
      <c r="AW111" s="1">
        <f t="shared" si="88"/>
        <v>0</v>
      </c>
      <c r="AX111" s="1">
        <f t="shared" si="89"/>
        <v>0</v>
      </c>
      <c r="AY111" s="1">
        <f t="shared" si="90"/>
        <v>0</v>
      </c>
      <c r="AZ111" s="1">
        <f t="shared" si="91"/>
        <v>0</v>
      </c>
      <c r="BA111" s="1">
        <f t="shared" si="92"/>
        <v>0</v>
      </c>
      <c r="BB111" s="1">
        <f t="shared" si="93"/>
        <v>0</v>
      </c>
      <c r="BC111" s="1">
        <f t="shared" si="94"/>
        <v>0</v>
      </c>
      <c r="BD111" s="1">
        <f t="shared" si="95"/>
        <v>0</v>
      </c>
      <c r="BE111" s="1">
        <f t="shared" si="96"/>
        <v>0</v>
      </c>
      <c r="BF111" s="1">
        <f t="shared" si="97"/>
        <v>0</v>
      </c>
      <c r="BG111" s="1">
        <f t="shared" si="98"/>
        <v>0</v>
      </c>
      <c r="BH111" s="1">
        <f t="shared" si="99"/>
        <v>0</v>
      </c>
      <c r="BI111" s="1">
        <f t="shared" si="100"/>
        <v>0</v>
      </c>
      <c r="BJ111" s="1">
        <f t="shared" si="101"/>
        <v>0</v>
      </c>
      <c r="BK111" s="1">
        <f t="shared" si="102"/>
        <v>0</v>
      </c>
      <c r="BL111" s="1">
        <f t="shared" si="103"/>
        <v>0</v>
      </c>
      <c r="BM111" s="1">
        <f t="shared" si="104"/>
        <v>0</v>
      </c>
      <c r="BN111" s="1">
        <f t="shared" si="105"/>
        <v>0</v>
      </c>
      <c r="BO111" s="1">
        <f t="shared" si="106"/>
        <v>0</v>
      </c>
      <c r="BP111" s="1">
        <f t="shared" si="107"/>
        <v>0</v>
      </c>
      <c r="BQ111" s="1">
        <f t="shared" si="108"/>
        <v>0</v>
      </c>
      <c r="BR111" s="1">
        <f t="shared" si="109"/>
        <v>0</v>
      </c>
      <c r="BS111" s="1">
        <f t="shared" si="110"/>
        <v>0</v>
      </c>
      <c r="BT111" s="1">
        <f t="shared" si="111"/>
        <v>0</v>
      </c>
      <c r="BU111" s="1">
        <f t="shared" si="48"/>
        <v>0</v>
      </c>
      <c r="BV111" s="1">
        <f t="shared" si="112"/>
        <v>0</v>
      </c>
      <c r="BW111" s="1">
        <f t="shared" si="113"/>
        <v>0</v>
      </c>
      <c r="BX111" s="1">
        <f t="shared" si="114"/>
        <v>0</v>
      </c>
      <c r="BY111" s="1">
        <f t="shared" si="115"/>
        <v>0</v>
      </c>
      <c r="BZ111" s="1">
        <f t="shared" si="116"/>
        <v>0</v>
      </c>
      <c r="CA111" s="1">
        <f t="shared" si="117"/>
        <v>0</v>
      </c>
      <c r="CB111" s="1">
        <f t="shared" si="118"/>
        <v>0</v>
      </c>
      <c r="CC111" s="1">
        <f t="shared" si="119"/>
        <v>0</v>
      </c>
      <c r="CD111" s="1">
        <f t="shared" si="120"/>
        <v>0</v>
      </c>
      <c r="CE111" s="1"/>
      <c r="CH111" s="1" t="s">
        <v>44</v>
      </c>
      <c r="CI111" s="1">
        <v>0</v>
      </c>
      <c r="CJ111" s="1">
        <v>0</v>
      </c>
      <c r="CK111" s="1">
        <v>0</v>
      </c>
      <c r="CL111" s="1">
        <v>0</v>
      </c>
      <c r="CM111" s="1">
        <v>0</v>
      </c>
      <c r="CN111" s="1">
        <v>0</v>
      </c>
      <c r="CO111" s="1">
        <v>0</v>
      </c>
      <c r="CP111" s="1">
        <v>0</v>
      </c>
      <c r="CQ111" s="1">
        <v>0</v>
      </c>
      <c r="CR111" s="1">
        <v>0</v>
      </c>
      <c r="CS111" s="1">
        <v>0</v>
      </c>
      <c r="CT111" s="1">
        <v>0</v>
      </c>
      <c r="CU111" s="1">
        <v>0</v>
      </c>
      <c r="CV111" s="1">
        <v>0</v>
      </c>
      <c r="CW111" s="1">
        <v>0</v>
      </c>
      <c r="CX111" s="1">
        <v>0</v>
      </c>
      <c r="CY111" s="1">
        <v>0</v>
      </c>
      <c r="CZ111" s="1">
        <v>0</v>
      </c>
      <c r="DA111" s="1">
        <v>0</v>
      </c>
      <c r="DB111" s="1">
        <v>0</v>
      </c>
      <c r="DC111" s="1">
        <v>0</v>
      </c>
      <c r="DD111" s="1">
        <v>0</v>
      </c>
      <c r="DE111" s="1">
        <v>0</v>
      </c>
      <c r="DF111" s="1">
        <v>0</v>
      </c>
      <c r="DG111" s="1">
        <v>0</v>
      </c>
      <c r="DH111" s="1">
        <v>0</v>
      </c>
      <c r="DI111" s="1">
        <v>0</v>
      </c>
      <c r="DJ111" s="1">
        <v>0</v>
      </c>
      <c r="DK111" s="1">
        <v>0</v>
      </c>
      <c r="DL111" s="1">
        <v>0</v>
      </c>
      <c r="DM111" s="1">
        <v>12</v>
      </c>
      <c r="DN111" s="1">
        <v>0</v>
      </c>
      <c r="DO111" s="1">
        <v>0</v>
      </c>
      <c r="DP111" s="1">
        <v>0</v>
      </c>
      <c r="DQ111" s="1">
        <v>0</v>
      </c>
      <c r="DR111" s="1">
        <v>0</v>
      </c>
      <c r="DS111" s="1">
        <v>0</v>
      </c>
      <c r="DT111" s="1">
        <v>0</v>
      </c>
      <c r="DU111" s="1">
        <v>0</v>
      </c>
      <c r="DV111" s="1">
        <v>0</v>
      </c>
      <c r="DW111" s="1">
        <v>0</v>
      </c>
      <c r="DX111" s="1">
        <v>0</v>
      </c>
      <c r="DY111" s="1">
        <v>0</v>
      </c>
      <c r="DZ111" s="1">
        <v>0</v>
      </c>
      <c r="EA111" s="1">
        <v>0</v>
      </c>
      <c r="EB111" s="1">
        <v>0</v>
      </c>
      <c r="EC111" s="1">
        <v>0</v>
      </c>
      <c r="ED111" s="1">
        <v>0</v>
      </c>
      <c r="EE111" s="1">
        <v>0</v>
      </c>
      <c r="EF111" s="1">
        <v>0</v>
      </c>
      <c r="EG111" s="1">
        <v>0</v>
      </c>
      <c r="EH111" s="1">
        <v>0</v>
      </c>
      <c r="EI111" s="1">
        <v>0</v>
      </c>
      <c r="EJ111" s="1">
        <v>0</v>
      </c>
      <c r="EK111" s="1">
        <v>0</v>
      </c>
      <c r="EL111" s="1">
        <v>0</v>
      </c>
      <c r="EM111" s="1">
        <v>0</v>
      </c>
      <c r="EN111" s="1">
        <v>0</v>
      </c>
      <c r="EO111" s="1">
        <v>0</v>
      </c>
      <c r="EP111" s="1">
        <v>0</v>
      </c>
      <c r="EQ111" s="1">
        <v>0</v>
      </c>
      <c r="ER111" s="1">
        <v>0</v>
      </c>
      <c r="ES111" s="1">
        <v>0</v>
      </c>
      <c r="ET111" s="1">
        <v>0</v>
      </c>
      <c r="EU111" s="1">
        <v>0</v>
      </c>
      <c r="EV111" s="1">
        <v>0</v>
      </c>
      <c r="EW111" s="1">
        <v>0</v>
      </c>
      <c r="EX111" s="1">
        <v>0</v>
      </c>
      <c r="EY111" s="1">
        <v>0</v>
      </c>
      <c r="EZ111" s="1">
        <v>0</v>
      </c>
      <c r="FA111" s="1">
        <v>0</v>
      </c>
      <c r="FB111" s="1">
        <v>0</v>
      </c>
      <c r="FC111" s="1">
        <v>0</v>
      </c>
      <c r="FD111" s="1">
        <v>0</v>
      </c>
      <c r="FE111" s="1">
        <f t="shared" si="46"/>
        <v>12</v>
      </c>
      <c r="FF111" s="1">
        <f>DK157</f>
        <v>0</v>
      </c>
      <c r="FG111" s="1">
        <f t="shared" si="47"/>
        <v>0</v>
      </c>
    </row>
    <row r="112" spans="8:163" ht="15.75" thickBot="1" x14ac:dyDescent="0.3">
      <c r="H112" s="1" t="s">
        <v>45</v>
      </c>
      <c r="I112" s="1">
        <f t="shared" si="45"/>
        <v>0</v>
      </c>
      <c r="J112" s="1">
        <f t="shared" si="49"/>
        <v>0</v>
      </c>
      <c r="K112" s="1">
        <f t="shared" si="50"/>
        <v>0</v>
      </c>
      <c r="L112" s="1">
        <f t="shared" si="51"/>
        <v>0</v>
      </c>
      <c r="M112" s="1">
        <f t="shared" si="52"/>
        <v>0</v>
      </c>
      <c r="N112" s="1">
        <f t="shared" si="53"/>
        <v>0</v>
      </c>
      <c r="O112" s="1">
        <f t="shared" si="54"/>
        <v>0</v>
      </c>
      <c r="P112" s="1">
        <f t="shared" si="55"/>
        <v>0</v>
      </c>
      <c r="Q112" s="1">
        <f t="shared" si="56"/>
        <v>0</v>
      </c>
      <c r="R112" s="1">
        <f t="shared" si="57"/>
        <v>0</v>
      </c>
      <c r="S112" s="1">
        <f t="shared" si="58"/>
        <v>0</v>
      </c>
      <c r="T112" s="1">
        <f t="shared" si="59"/>
        <v>0</v>
      </c>
      <c r="U112" s="1">
        <f t="shared" si="60"/>
        <v>0</v>
      </c>
      <c r="V112" s="1">
        <f t="shared" si="61"/>
        <v>0</v>
      </c>
      <c r="W112" s="1">
        <f t="shared" si="62"/>
        <v>0</v>
      </c>
      <c r="X112" s="1">
        <f t="shared" si="63"/>
        <v>0</v>
      </c>
      <c r="Y112" s="1">
        <f t="shared" si="64"/>
        <v>0</v>
      </c>
      <c r="Z112" s="1">
        <f t="shared" si="65"/>
        <v>0</v>
      </c>
      <c r="AA112" s="1">
        <f t="shared" si="66"/>
        <v>0</v>
      </c>
      <c r="AB112" s="1">
        <f t="shared" si="67"/>
        <v>0</v>
      </c>
      <c r="AC112" s="1">
        <f t="shared" si="68"/>
        <v>0</v>
      </c>
      <c r="AD112" s="1">
        <f t="shared" si="69"/>
        <v>0</v>
      </c>
      <c r="AE112" s="1">
        <f t="shared" si="70"/>
        <v>0</v>
      </c>
      <c r="AF112" s="1">
        <f t="shared" si="71"/>
        <v>0</v>
      </c>
      <c r="AG112" s="1">
        <f t="shared" si="72"/>
        <v>0</v>
      </c>
      <c r="AH112" s="1">
        <f t="shared" si="73"/>
        <v>0</v>
      </c>
      <c r="AI112" s="1">
        <f t="shared" si="74"/>
        <v>0</v>
      </c>
      <c r="AJ112" s="1">
        <f t="shared" si="75"/>
        <v>0</v>
      </c>
      <c r="AK112" s="1">
        <f t="shared" si="76"/>
        <v>0</v>
      </c>
      <c r="AL112" s="1">
        <f t="shared" si="77"/>
        <v>0</v>
      </c>
      <c r="AM112" s="1">
        <f t="shared" si="78"/>
        <v>0</v>
      </c>
      <c r="AN112" s="1">
        <f t="shared" si="79"/>
        <v>0</v>
      </c>
      <c r="AO112" s="1">
        <f t="shared" si="80"/>
        <v>-53</v>
      </c>
      <c r="AP112" s="1">
        <f t="shared" si="81"/>
        <v>0</v>
      </c>
      <c r="AQ112" s="1">
        <f t="shared" si="82"/>
        <v>0</v>
      </c>
      <c r="AR112" s="1">
        <f t="shared" si="83"/>
        <v>0</v>
      </c>
      <c r="AS112" s="1">
        <f t="shared" si="84"/>
        <v>0</v>
      </c>
      <c r="AT112" s="1">
        <f t="shared" si="85"/>
        <v>0</v>
      </c>
      <c r="AU112" s="1">
        <f t="shared" si="86"/>
        <v>0</v>
      </c>
      <c r="AV112" s="1">
        <f t="shared" si="87"/>
        <v>0</v>
      </c>
      <c r="AW112" s="1">
        <f t="shared" si="88"/>
        <v>0</v>
      </c>
      <c r="AX112" s="1">
        <f t="shared" si="89"/>
        <v>0</v>
      </c>
      <c r="AY112" s="1">
        <f t="shared" si="90"/>
        <v>0</v>
      </c>
      <c r="AZ112" s="1">
        <f t="shared" si="91"/>
        <v>0</v>
      </c>
      <c r="BA112" s="1">
        <f t="shared" si="92"/>
        <v>0</v>
      </c>
      <c r="BB112" s="1">
        <f t="shared" si="93"/>
        <v>0</v>
      </c>
      <c r="BC112" s="1">
        <f t="shared" si="94"/>
        <v>0</v>
      </c>
      <c r="BD112" s="1">
        <f t="shared" si="95"/>
        <v>0</v>
      </c>
      <c r="BE112" s="1">
        <f t="shared" si="96"/>
        <v>0</v>
      </c>
      <c r="BF112" s="1">
        <f t="shared" si="97"/>
        <v>0</v>
      </c>
      <c r="BG112" s="1">
        <f t="shared" si="98"/>
        <v>0</v>
      </c>
      <c r="BH112" s="1">
        <f t="shared" si="99"/>
        <v>0</v>
      </c>
      <c r="BI112" s="1">
        <f t="shared" si="100"/>
        <v>0</v>
      </c>
      <c r="BJ112" s="1">
        <f t="shared" si="101"/>
        <v>0</v>
      </c>
      <c r="BK112" s="1">
        <f t="shared" si="102"/>
        <v>0</v>
      </c>
      <c r="BL112" s="1">
        <f t="shared" si="103"/>
        <v>0</v>
      </c>
      <c r="BM112" s="1">
        <f t="shared" si="104"/>
        <v>0</v>
      </c>
      <c r="BN112" s="1">
        <f t="shared" si="105"/>
        <v>0</v>
      </c>
      <c r="BO112" s="1">
        <f t="shared" si="106"/>
        <v>0</v>
      </c>
      <c r="BP112" s="1">
        <f t="shared" si="107"/>
        <v>0</v>
      </c>
      <c r="BQ112" s="1">
        <f t="shared" si="108"/>
        <v>0</v>
      </c>
      <c r="BR112" s="1">
        <f t="shared" si="109"/>
        <v>0</v>
      </c>
      <c r="BS112" s="1">
        <f t="shared" si="110"/>
        <v>0</v>
      </c>
      <c r="BT112" s="1">
        <f t="shared" si="111"/>
        <v>0</v>
      </c>
      <c r="BU112" s="1">
        <f t="shared" si="48"/>
        <v>0</v>
      </c>
      <c r="BV112" s="1">
        <f t="shared" si="112"/>
        <v>0</v>
      </c>
      <c r="BW112" s="1">
        <f t="shared" si="113"/>
        <v>0</v>
      </c>
      <c r="BX112" s="1">
        <f t="shared" si="114"/>
        <v>0</v>
      </c>
      <c r="BY112" s="1">
        <f t="shared" si="115"/>
        <v>0</v>
      </c>
      <c r="BZ112" s="1">
        <f t="shared" si="116"/>
        <v>0</v>
      </c>
      <c r="CA112" s="1">
        <f t="shared" si="117"/>
        <v>0</v>
      </c>
      <c r="CB112" s="1">
        <f t="shared" si="118"/>
        <v>0</v>
      </c>
      <c r="CC112" s="1">
        <f t="shared" si="119"/>
        <v>0</v>
      </c>
      <c r="CD112" s="1">
        <f t="shared" si="120"/>
        <v>0</v>
      </c>
      <c r="CE112" s="1"/>
      <c r="CH112" s="1" t="s">
        <v>45</v>
      </c>
      <c r="CI112" s="1">
        <v>0</v>
      </c>
      <c r="CJ112" s="1">
        <v>0</v>
      </c>
      <c r="CK112" s="1">
        <v>0</v>
      </c>
      <c r="CL112" s="1">
        <v>0</v>
      </c>
      <c r="CM112" s="1">
        <v>0</v>
      </c>
      <c r="CN112" s="1">
        <v>0</v>
      </c>
      <c r="CO112" s="1">
        <v>0</v>
      </c>
      <c r="CP112" s="1">
        <v>0</v>
      </c>
      <c r="CQ112" s="1">
        <v>0</v>
      </c>
      <c r="CR112" s="1">
        <v>0</v>
      </c>
      <c r="CS112" s="1">
        <v>0</v>
      </c>
      <c r="CT112" s="1">
        <v>0</v>
      </c>
      <c r="CU112" s="1">
        <v>0</v>
      </c>
      <c r="CV112" s="1">
        <v>0</v>
      </c>
      <c r="CW112" s="1">
        <v>0</v>
      </c>
      <c r="CX112" s="1">
        <v>0</v>
      </c>
      <c r="CY112" s="1">
        <v>0</v>
      </c>
      <c r="CZ112" s="1">
        <v>0</v>
      </c>
      <c r="DA112" s="1">
        <v>0</v>
      </c>
      <c r="DB112" s="1">
        <v>0</v>
      </c>
      <c r="DC112" s="1">
        <v>0</v>
      </c>
      <c r="DD112" s="1">
        <v>0</v>
      </c>
      <c r="DE112" s="1">
        <v>0</v>
      </c>
      <c r="DF112" s="1">
        <v>0</v>
      </c>
      <c r="DG112" s="1">
        <v>0</v>
      </c>
      <c r="DH112" s="1">
        <v>0</v>
      </c>
      <c r="DI112" s="1">
        <v>0</v>
      </c>
      <c r="DJ112" s="1">
        <v>0</v>
      </c>
      <c r="DK112" s="1">
        <v>0</v>
      </c>
      <c r="DL112" s="1">
        <v>0</v>
      </c>
      <c r="DM112" s="1">
        <v>0</v>
      </c>
      <c r="DN112" s="1">
        <v>0</v>
      </c>
      <c r="DO112" s="1">
        <v>17</v>
      </c>
      <c r="DP112" s="1">
        <v>0</v>
      </c>
      <c r="DQ112" s="1">
        <v>0</v>
      </c>
      <c r="DR112" s="1">
        <v>0</v>
      </c>
      <c r="DS112" s="1">
        <v>0</v>
      </c>
      <c r="DT112" s="1">
        <v>0</v>
      </c>
      <c r="DU112" s="1">
        <v>0</v>
      </c>
      <c r="DV112" s="1">
        <v>0</v>
      </c>
      <c r="DW112" s="1">
        <v>0</v>
      </c>
      <c r="DX112" s="1">
        <v>0</v>
      </c>
      <c r="DY112" s="1">
        <v>0</v>
      </c>
      <c r="DZ112" s="1">
        <v>0</v>
      </c>
      <c r="EA112" s="1">
        <v>0</v>
      </c>
      <c r="EB112" s="1">
        <v>0</v>
      </c>
      <c r="EC112" s="1">
        <v>0</v>
      </c>
      <c r="ED112" s="1">
        <v>0</v>
      </c>
      <c r="EE112" s="1">
        <v>0</v>
      </c>
      <c r="EF112" s="1">
        <v>0</v>
      </c>
      <c r="EG112" s="1">
        <v>0</v>
      </c>
      <c r="EH112" s="1">
        <v>0</v>
      </c>
      <c r="EI112" s="1">
        <v>0</v>
      </c>
      <c r="EJ112" s="1">
        <v>0</v>
      </c>
      <c r="EK112" s="1">
        <v>0</v>
      </c>
      <c r="EL112" s="1">
        <v>0</v>
      </c>
      <c r="EM112" s="1">
        <v>0</v>
      </c>
      <c r="EN112" s="1">
        <v>0</v>
      </c>
      <c r="EO112" s="1">
        <v>0</v>
      </c>
      <c r="EP112" s="1">
        <v>0</v>
      </c>
      <c r="EQ112" s="1">
        <v>0</v>
      </c>
      <c r="ER112" s="1">
        <v>0</v>
      </c>
      <c r="ES112" s="1">
        <v>0</v>
      </c>
      <c r="ET112" s="1">
        <v>0</v>
      </c>
      <c r="EU112" s="1">
        <v>0</v>
      </c>
      <c r="EV112" s="1">
        <v>0</v>
      </c>
      <c r="EW112" s="1">
        <v>0</v>
      </c>
      <c r="EX112" s="1">
        <v>0</v>
      </c>
      <c r="EY112" s="1">
        <v>0</v>
      </c>
      <c r="EZ112" s="1">
        <v>0</v>
      </c>
      <c r="FA112" s="1">
        <v>0</v>
      </c>
      <c r="FB112" s="1">
        <v>0</v>
      </c>
      <c r="FC112" s="1">
        <v>0</v>
      </c>
      <c r="FD112" s="1">
        <v>0</v>
      </c>
      <c r="FE112" s="1">
        <f t="shared" si="46"/>
        <v>17</v>
      </c>
      <c r="FF112" s="1">
        <f>DL157</f>
        <v>8</v>
      </c>
      <c r="FG112" s="1">
        <f t="shared" si="47"/>
        <v>0</v>
      </c>
    </row>
    <row r="113" spans="8:163" ht="15.75" thickBot="1" x14ac:dyDescent="0.3">
      <c r="H113" s="1" t="s">
        <v>46</v>
      </c>
      <c r="I113" s="1">
        <f t="shared" si="45"/>
        <v>0</v>
      </c>
      <c r="J113" s="1">
        <f t="shared" si="49"/>
        <v>0</v>
      </c>
      <c r="K113" s="1">
        <f t="shared" si="50"/>
        <v>0</v>
      </c>
      <c r="L113" s="1">
        <f t="shared" si="51"/>
        <v>0</v>
      </c>
      <c r="M113" s="1">
        <f t="shared" si="52"/>
        <v>0</v>
      </c>
      <c r="N113" s="1">
        <f t="shared" si="53"/>
        <v>0</v>
      </c>
      <c r="O113" s="1">
        <f t="shared" si="54"/>
        <v>0</v>
      </c>
      <c r="P113" s="1">
        <f t="shared" si="55"/>
        <v>0</v>
      </c>
      <c r="Q113" s="1">
        <f t="shared" si="56"/>
        <v>0</v>
      </c>
      <c r="R113" s="1">
        <f t="shared" si="57"/>
        <v>0</v>
      </c>
      <c r="S113" s="1">
        <f t="shared" si="58"/>
        <v>0</v>
      </c>
      <c r="T113" s="1">
        <f t="shared" si="59"/>
        <v>0</v>
      </c>
      <c r="U113" s="1">
        <f t="shared" si="60"/>
        <v>0</v>
      </c>
      <c r="V113" s="1">
        <f t="shared" si="61"/>
        <v>0</v>
      </c>
      <c r="W113" s="1">
        <f t="shared" si="62"/>
        <v>0</v>
      </c>
      <c r="X113" s="1">
        <f t="shared" si="63"/>
        <v>0</v>
      </c>
      <c r="Y113" s="1">
        <f t="shared" si="64"/>
        <v>0</v>
      </c>
      <c r="Z113" s="1">
        <f t="shared" si="65"/>
        <v>0</v>
      </c>
      <c r="AA113" s="1">
        <f t="shared" si="66"/>
        <v>0</v>
      </c>
      <c r="AB113" s="1">
        <f t="shared" si="67"/>
        <v>0</v>
      </c>
      <c r="AC113" s="1">
        <f t="shared" si="68"/>
        <v>0</v>
      </c>
      <c r="AD113" s="1">
        <f t="shared" si="69"/>
        <v>0</v>
      </c>
      <c r="AE113" s="1">
        <f t="shared" si="70"/>
        <v>0</v>
      </c>
      <c r="AF113" s="1">
        <f t="shared" si="71"/>
        <v>0</v>
      </c>
      <c r="AG113" s="1">
        <f t="shared" si="72"/>
        <v>0</v>
      </c>
      <c r="AH113" s="1">
        <f t="shared" si="73"/>
        <v>0</v>
      </c>
      <c r="AI113" s="1">
        <f t="shared" si="74"/>
        <v>0</v>
      </c>
      <c r="AJ113" s="1">
        <f t="shared" si="75"/>
        <v>0</v>
      </c>
      <c r="AK113" s="1">
        <f t="shared" si="76"/>
        <v>0</v>
      </c>
      <c r="AL113" s="1">
        <f t="shared" si="77"/>
        <v>0</v>
      </c>
      <c r="AM113" s="1">
        <f t="shared" si="78"/>
        <v>0</v>
      </c>
      <c r="AN113" s="1">
        <f t="shared" si="79"/>
        <v>0</v>
      </c>
      <c r="AO113" s="1">
        <f t="shared" si="80"/>
        <v>0</v>
      </c>
      <c r="AP113" s="1">
        <f t="shared" si="81"/>
        <v>0</v>
      </c>
      <c r="AQ113" s="1">
        <f t="shared" si="82"/>
        <v>0</v>
      </c>
      <c r="AR113" s="1">
        <f t="shared" si="83"/>
        <v>0</v>
      </c>
      <c r="AS113" s="1">
        <f t="shared" si="84"/>
        <v>0</v>
      </c>
      <c r="AT113" s="1">
        <f t="shared" si="85"/>
        <v>0</v>
      </c>
      <c r="AU113" s="1">
        <f t="shared" si="86"/>
        <v>0</v>
      </c>
      <c r="AV113" s="1">
        <f t="shared" si="87"/>
        <v>0</v>
      </c>
      <c r="AW113" s="1">
        <f t="shared" si="88"/>
        <v>0</v>
      </c>
      <c r="AX113" s="1">
        <f t="shared" si="89"/>
        <v>0</v>
      </c>
      <c r="AY113" s="1">
        <f t="shared" si="90"/>
        <v>0</v>
      </c>
      <c r="AZ113" s="1">
        <f t="shared" si="91"/>
        <v>0</v>
      </c>
      <c r="BA113" s="1">
        <f t="shared" si="92"/>
        <v>0</v>
      </c>
      <c r="BB113" s="1">
        <f t="shared" si="93"/>
        <v>0</v>
      </c>
      <c r="BC113" s="1">
        <f t="shared" si="94"/>
        <v>0</v>
      </c>
      <c r="BD113" s="1">
        <f t="shared" si="95"/>
        <v>0</v>
      </c>
      <c r="BE113" s="1">
        <f t="shared" si="96"/>
        <v>0</v>
      </c>
      <c r="BF113" s="1">
        <f t="shared" si="97"/>
        <v>0</v>
      </c>
      <c r="BG113" s="1">
        <f t="shared" si="98"/>
        <v>0</v>
      </c>
      <c r="BH113" s="1">
        <f t="shared" si="99"/>
        <v>0</v>
      </c>
      <c r="BI113" s="1">
        <f t="shared" si="100"/>
        <v>0</v>
      </c>
      <c r="BJ113" s="1">
        <f t="shared" si="101"/>
        <v>0</v>
      </c>
      <c r="BK113" s="1">
        <f t="shared" si="102"/>
        <v>0</v>
      </c>
      <c r="BL113" s="1">
        <f t="shared" si="103"/>
        <v>0</v>
      </c>
      <c r="BM113" s="1">
        <f t="shared" si="104"/>
        <v>0</v>
      </c>
      <c r="BN113" s="1">
        <f t="shared" si="105"/>
        <v>0</v>
      </c>
      <c r="BO113" s="1">
        <f t="shared" si="106"/>
        <v>0</v>
      </c>
      <c r="BP113" s="1">
        <f t="shared" si="107"/>
        <v>0</v>
      </c>
      <c r="BQ113" s="1">
        <f t="shared" si="108"/>
        <v>0</v>
      </c>
      <c r="BR113" s="1">
        <f t="shared" si="109"/>
        <v>0</v>
      </c>
      <c r="BS113" s="1">
        <f t="shared" si="110"/>
        <v>0</v>
      </c>
      <c r="BT113" s="1">
        <f t="shared" si="111"/>
        <v>0</v>
      </c>
      <c r="BU113" s="1">
        <f t="shared" si="48"/>
        <v>0</v>
      </c>
      <c r="BV113" s="1">
        <f t="shared" si="112"/>
        <v>0</v>
      </c>
      <c r="BW113" s="1">
        <f t="shared" si="113"/>
        <v>0</v>
      </c>
      <c r="BX113" s="1">
        <f t="shared" si="114"/>
        <v>0</v>
      </c>
      <c r="BY113" s="1">
        <f t="shared" si="115"/>
        <v>0</v>
      </c>
      <c r="BZ113" s="1">
        <f t="shared" si="116"/>
        <v>0</v>
      </c>
      <c r="CA113" s="1">
        <f t="shared" si="117"/>
        <v>0</v>
      </c>
      <c r="CB113" s="1">
        <f t="shared" si="118"/>
        <v>0</v>
      </c>
      <c r="CC113" s="1">
        <f t="shared" si="119"/>
        <v>0</v>
      </c>
      <c r="CD113" s="1">
        <f t="shared" si="120"/>
        <v>-48</v>
      </c>
      <c r="CE113" s="1"/>
      <c r="CH113" s="1" t="s">
        <v>46</v>
      </c>
      <c r="CI113" s="1">
        <v>0</v>
      </c>
      <c r="CJ113" s="1">
        <v>0</v>
      </c>
      <c r="CK113" s="1">
        <v>0</v>
      </c>
      <c r="CL113" s="1">
        <v>0</v>
      </c>
      <c r="CM113" s="1">
        <v>0</v>
      </c>
      <c r="CN113" s="1">
        <v>0</v>
      </c>
      <c r="CO113" s="1">
        <v>0</v>
      </c>
      <c r="CP113" s="1">
        <v>0</v>
      </c>
      <c r="CQ113" s="1">
        <v>0</v>
      </c>
      <c r="CR113" s="1">
        <v>0</v>
      </c>
      <c r="CS113" s="1">
        <v>0</v>
      </c>
      <c r="CT113" s="1">
        <v>0</v>
      </c>
      <c r="CU113" s="1">
        <v>0</v>
      </c>
      <c r="CV113" s="1">
        <v>0</v>
      </c>
      <c r="CW113" s="1">
        <v>0</v>
      </c>
      <c r="CX113" s="1">
        <v>0</v>
      </c>
      <c r="CY113" s="1">
        <v>0</v>
      </c>
      <c r="CZ113" s="1">
        <v>0</v>
      </c>
      <c r="DA113" s="1">
        <v>0</v>
      </c>
      <c r="DB113" s="1">
        <v>0</v>
      </c>
      <c r="DC113" s="1">
        <v>0</v>
      </c>
      <c r="DD113" s="1">
        <v>0</v>
      </c>
      <c r="DE113" s="1">
        <v>0</v>
      </c>
      <c r="DF113" s="1">
        <v>0</v>
      </c>
      <c r="DG113" s="1">
        <v>0</v>
      </c>
      <c r="DH113" s="1">
        <v>0</v>
      </c>
      <c r="DI113" s="1">
        <v>0</v>
      </c>
      <c r="DJ113" s="1">
        <v>0</v>
      </c>
      <c r="DK113" s="1">
        <v>0</v>
      </c>
      <c r="DL113" s="1">
        <v>0</v>
      </c>
      <c r="DM113" s="1">
        <v>0</v>
      </c>
      <c r="DN113" s="1">
        <v>0</v>
      </c>
      <c r="DO113" s="1">
        <v>0</v>
      </c>
      <c r="DP113" s="1">
        <v>0</v>
      </c>
      <c r="DQ113" s="1">
        <v>0</v>
      </c>
      <c r="DR113" s="1">
        <v>0</v>
      </c>
      <c r="DS113" s="1">
        <v>0</v>
      </c>
      <c r="DT113" s="1">
        <v>0</v>
      </c>
      <c r="DU113" s="1">
        <v>0</v>
      </c>
      <c r="DV113" s="1">
        <v>0</v>
      </c>
      <c r="DW113" s="1">
        <v>0</v>
      </c>
      <c r="DX113" s="1">
        <v>0</v>
      </c>
      <c r="DY113" s="1">
        <v>0</v>
      </c>
      <c r="DZ113" s="1">
        <v>0</v>
      </c>
      <c r="EA113" s="1">
        <v>0</v>
      </c>
      <c r="EB113" s="1">
        <v>0</v>
      </c>
      <c r="EC113" s="1">
        <v>0</v>
      </c>
      <c r="ED113" s="1">
        <v>0</v>
      </c>
      <c r="EE113" s="1">
        <v>0</v>
      </c>
      <c r="EF113" s="1">
        <v>0</v>
      </c>
      <c r="EG113" s="1">
        <v>0</v>
      </c>
      <c r="EH113" s="1">
        <v>0</v>
      </c>
      <c r="EI113" s="1">
        <v>0</v>
      </c>
      <c r="EJ113" s="1">
        <v>0</v>
      </c>
      <c r="EK113" s="1">
        <v>0</v>
      </c>
      <c r="EL113" s="1">
        <v>0</v>
      </c>
      <c r="EM113" s="1">
        <v>0</v>
      </c>
      <c r="EN113" s="1">
        <v>0</v>
      </c>
      <c r="EO113" s="1">
        <v>0</v>
      </c>
      <c r="EP113" s="1">
        <v>0</v>
      </c>
      <c r="EQ113" s="1">
        <v>0</v>
      </c>
      <c r="ER113" s="1">
        <v>0</v>
      </c>
      <c r="ES113" s="1">
        <v>0</v>
      </c>
      <c r="ET113" s="1">
        <v>0</v>
      </c>
      <c r="EU113" s="1">
        <v>0</v>
      </c>
      <c r="EV113" s="1">
        <v>0</v>
      </c>
      <c r="EW113" s="1">
        <v>0</v>
      </c>
      <c r="EX113" s="1">
        <v>0</v>
      </c>
      <c r="EY113" s="1">
        <v>0</v>
      </c>
      <c r="EZ113" s="1">
        <v>0</v>
      </c>
      <c r="FA113" s="1">
        <v>0</v>
      </c>
      <c r="FB113" s="1">
        <v>0</v>
      </c>
      <c r="FC113" s="1">
        <v>0</v>
      </c>
      <c r="FD113" s="1">
        <v>22</v>
      </c>
      <c r="FE113" s="1">
        <f t="shared" si="46"/>
        <v>22</v>
      </c>
      <c r="FF113" s="1">
        <f>DM157</f>
        <v>12</v>
      </c>
      <c r="FG113" s="1">
        <f t="shared" si="47"/>
        <v>0</v>
      </c>
    </row>
    <row r="114" spans="8:163" ht="15.75" thickBot="1" x14ac:dyDescent="0.3">
      <c r="H114" s="1" t="s">
        <v>47</v>
      </c>
      <c r="I114" s="1">
        <f t="shared" si="45"/>
        <v>0</v>
      </c>
      <c r="J114" s="1">
        <f t="shared" si="49"/>
        <v>0</v>
      </c>
      <c r="K114" s="1">
        <f t="shared" si="50"/>
        <v>0</v>
      </c>
      <c r="L114" s="1">
        <f t="shared" si="51"/>
        <v>0</v>
      </c>
      <c r="M114" s="1">
        <f t="shared" si="52"/>
        <v>0</v>
      </c>
      <c r="N114" s="1">
        <f t="shared" si="53"/>
        <v>0</v>
      </c>
      <c r="O114" s="1">
        <f t="shared" si="54"/>
        <v>0</v>
      </c>
      <c r="P114" s="1">
        <f t="shared" si="55"/>
        <v>0</v>
      </c>
      <c r="Q114" s="1">
        <f t="shared" si="56"/>
        <v>0</v>
      </c>
      <c r="R114" s="1">
        <f t="shared" si="57"/>
        <v>0</v>
      </c>
      <c r="S114" s="1">
        <f t="shared" si="58"/>
        <v>0</v>
      </c>
      <c r="T114" s="1">
        <f t="shared" si="59"/>
        <v>0</v>
      </c>
      <c r="U114" s="1">
        <f t="shared" si="60"/>
        <v>0</v>
      </c>
      <c r="V114" s="1">
        <f t="shared" si="61"/>
        <v>0</v>
      </c>
      <c r="W114" s="1">
        <f t="shared" si="62"/>
        <v>0</v>
      </c>
      <c r="X114" s="1">
        <f t="shared" si="63"/>
        <v>0</v>
      </c>
      <c r="Y114" s="1">
        <f t="shared" si="64"/>
        <v>0</v>
      </c>
      <c r="Z114" s="1">
        <f t="shared" si="65"/>
        <v>0</v>
      </c>
      <c r="AA114" s="1">
        <f t="shared" si="66"/>
        <v>0</v>
      </c>
      <c r="AB114" s="1">
        <f t="shared" si="67"/>
        <v>0</v>
      </c>
      <c r="AC114" s="1">
        <f t="shared" si="68"/>
        <v>0</v>
      </c>
      <c r="AD114" s="1">
        <f t="shared" si="69"/>
        <v>0</v>
      </c>
      <c r="AE114" s="1">
        <f t="shared" si="70"/>
        <v>0</v>
      </c>
      <c r="AF114" s="1">
        <f t="shared" si="71"/>
        <v>0</v>
      </c>
      <c r="AG114" s="1">
        <f t="shared" si="72"/>
        <v>0</v>
      </c>
      <c r="AH114" s="1">
        <f t="shared" si="73"/>
        <v>0</v>
      </c>
      <c r="AI114" s="1">
        <f t="shared" si="74"/>
        <v>0</v>
      </c>
      <c r="AJ114" s="1">
        <f t="shared" si="75"/>
        <v>0</v>
      </c>
      <c r="AK114" s="1">
        <f t="shared" si="76"/>
        <v>0</v>
      </c>
      <c r="AL114" s="1">
        <f t="shared" si="77"/>
        <v>0</v>
      </c>
      <c r="AM114" s="1">
        <f t="shared" si="78"/>
        <v>0</v>
      </c>
      <c r="AN114" s="1">
        <f t="shared" si="79"/>
        <v>0</v>
      </c>
      <c r="AO114" s="1">
        <f t="shared" si="80"/>
        <v>0</v>
      </c>
      <c r="AP114" s="1">
        <f t="shared" si="81"/>
        <v>0</v>
      </c>
      <c r="AQ114" s="1">
        <f t="shared" si="82"/>
        <v>0</v>
      </c>
      <c r="AR114" s="1">
        <f t="shared" si="83"/>
        <v>0</v>
      </c>
      <c r="AS114" s="1">
        <f t="shared" si="84"/>
        <v>0</v>
      </c>
      <c r="AT114" s="1">
        <f t="shared" si="85"/>
        <v>0</v>
      </c>
      <c r="AU114" s="1">
        <f t="shared" si="86"/>
        <v>0</v>
      </c>
      <c r="AV114" s="1">
        <f t="shared" si="87"/>
        <v>0</v>
      </c>
      <c r="AW114" s="1">
        <f t="shared" si="88"/>
        <v>0</v>
      </c>
      <c r="AX114" s="1">
        <f t="shared" si="89"/>
        <v>0</v>
      </c>
      <c r="AY114" s="1">
        <f t="shared" si="90"/>
        <v>0</v>
      </c>
      <c r="AZ114" s="1">
        <f t="shared" si="91"/>
        <v>0</v>
      </c>
      <c r="BA114" s="1">
        <f t="shared" si="92"/>
        <v>0</v>
      </c>
      <c r="BB114" s="1">
        <f t="shared" si="93"/>
        <v>0</v>
      </c>
      <c r="BC114" s="1">
        <f t="shared" si="94"/>
        <v>0</v>
      </c>
      <c r="BD114" s="1">
        <f t="shared" si="95"/>
        <v>0</v>
      </c>
      <c r="BE114" s="1">
        <f t="shared" si="96"/>
        <v>0</v>
      </c>
      <c r="BF114" s="1">
        <f t="shared" si="97"/>
        <v>0</v>
      </c>
      <c r="BG114" s="1">
        <f t="shared" si="98"/>
        <v>0</v>
      </c>
      <c r="BH114" s="1">
        <f t="shared" si="99"/>
        <v>0</v>
      </c>
      <c r="BI114" s="1">
        <f t="shared" si="100"/>
        <v>0</v>
      </c>
      <c r="BJ114" s="1">
        <f t="shared" si="101"/>
        <v>0</v>
      </c>
      <c r="BK114" s="1">
        <f t="shared" si="102"/>
        <v>0</v>
      </c>
      <c r="BL114" s="1">
        <f t="shared" si="103"/>
        <v>0</v>
      </c>
      <c r="BM114" s="1">
        <f t="shared" si="104"/>
        <v>0</v>
      </c>
      <c r="BN114" s="1">
        <f t="shared" si="105"/>
        <v>0</v>
      </c>
      <c r="BO114" s="1">
        <f t="shared" si="106"/>
        <v>0</v>
      </c>
      <c r="BP114" s="1">
        <f t="shared" si="107"/>
        <v>0</v>
      </c>
      <c r="BQ114" s="1">
        <f t="shared" si="108"/>
        <v>0</v>
      </c>
      <c r="BR114" s="1">
        <f t="shared" si="109"/>
        <v>0</v>
      </c>
      <c r="BS114" s="1">
        <f t="shared" si="110"/>
        <v>0</v>
      </c>
      <c r="BT114" s="1">
        <f t="shared" si="111"/>
        <v>0</v>
      </c>
      <c r="BU114" s="1">
        <f t="shared" si="48"/>
        <v>0</v>
      </c>
      <c r="BV114" s="1">
        <f t="shared" si="112"/>
        <v>0</v>
      </c>
      <c r="BW114" s="1">
        <f t="shared" si="113"/>
        <v>0</v>
      </c>
      <c r="BX114" s="1">
        <f t="shared" si="114"/>
        <v>0</v>
      </c>
      <c r="BY114" s="1">
        <f t="shared" si="115"/>
        <v>0</v>
      </c>
      <c r="BZ114" s="1">
        <f t="shared" si="116"/>
        <v>0</v>
      </c>
      <c r="CA114" s="1">
        <f t="shared" si="117"/>
        <v>0</v>
      </c>
      <c r="CB114" s="1">
        <f t="shared" si="118"/>
        <v>0</v>
      </c>
      <c r="CC114" s="1">
        <f t="shared" si="119"/>
        <v>-36</v>
      </c>
      <c r="CD114" s="1">
        <f t="shared" si="120"/>
        <v>0</v>
      </c>
      <c r="CE114" s="1"/>
      <c r="CH114" s="1" t="s">
        <v>47</v>
      </c>
      <c r="CI114" s="1">
        <v>0</v>
      </c>
      <c r="CJ114" s="1">
        <v>0</v>
      </c>
      <c r="CK114" s="1">
        <v>0</v>
      </c>
      <c r="CL114" s="1">
        <v>0</v>
      </c>
      <c r="CM114" s="1">
        <v>0</v>
      </c>
      <c r="CN114" s="1">
        <v>0</v>
      </c>
      <c r="CO114" s="1">
        <v>0</v>
      </c>
      <c r="CP114" s="1">
        <v>0</v>
      </c>
      <c r="CQ114" s="1">
        <v>0</v>
      </c>
      <c r="CR114" s="1">
        <v>0</v>
      </c>
      <c r="CS114" s="1">
        <v>0</v>
      </c>
      <c r="CT114" s="1">
        <v>0</v>
      </c>
      <c r="CU114" s="1">
        <v>0</v>
      </c>
      <c r="CV114" s="1">
        <v>0</v>
      </c>
      <c r="CW114" s="1">
        <v>0</v>
      </c>
      <c r="CX114" s="1">
        <v>0</v>
      </c>
      <c r="CY114" s="1">
        <v>0</v>
      </c>
      <c r="CZ114" s="1">
        <v>0</v>
      </c>
      <c r="DA114" s="1">
        <v>0</v>
      </c>
      <c r="DB114" s="1">
        <v>0</v>
      </c>
      <c r="DC114" s="1">
        <v>0</v>
      </c>
      <c r="DD114" s="1">
        <v>0</v>
      </c>
      <c r="DE114" s="1">
        <v>0</v>
      </c>
      <c r="DF114" s="1">
        <v>0</v>
      </c>
      <c r="DG114" s="1">
        <v>0</v>
      </c>
      <c r="DH114" s="1">
        <v>0</v>
      </c>
      <c r="DI114" s="1">
        <v>0</v>
      </c>
      <c r="DJ114" s="1">
        <v>0</v>
      </c>
      <c r="DK114" s="1">
        <v>0</v>
      </c>
      <c r="DL114" s="1">
        <v>0</v>
      </c>
      <c r="DM114" s="1">
        <v>0</v>
      </c>
      <c r="DN114" s="1">
        <v>0</v>
      </c>
      <c r="DO114" s="1">
        <v>0</v>
      </c>
      <c r="DP114" s="1">
        <v>0</v>
      </c>
      <c r="DQ114" s="1">
        <v>0</v>
      </c>
      <c r="DR114" s="1">
        <v>0</v>
      </c>
      <c r="DS114" s="1">
        <v>0</v>
      </c>
      <c r="DT114" s="1">
        <v>0</v>
      </c>
      <c r="DU114" s="1">
        <v>0</v>
      </c>
      <c r="DV114" s="1">
        <v>0</v>
      </c>
      <c r="DW114" s="1">
        <v>0</v>
      </c>
      <c r="DX114" s="1">
        <v>0</v>
      </c>
      <c r="DY114" s="1">
        <v>0</v>
      </c>
      <c r="DZ114" s="1">
        <v>0</v>
      </c>
      <c r="EA114" s="1">
        <v>0</v>
      </c>
      <c r="EB114" s="1">
        <v>0</v>
      </c>
      <c r="EC114" s="1">
        <v>0</v>
      </c>
      <c r="ED114" s="1">
        <v>0</v>
      </c>
      <c r="EE114" s="1">
        <v>0</v>
      </c>
      <c r="EF114" s="1">
        <v>0</v>
      </c>
      <c r="EG114" s="1">
        <v>0</v>
      </c>
      <c r="EH114" s="1">
        <v>0</v>
      </c>
      <c r="EI114" s="1">
        <v>0</v>
      </c>
      <c r="EJ114" s="1">
        <v>0</v>
      </c>
      <c r="EK114" s="1">
        <v>0</v>
      </c>
      <c r="EL114" s="1">
        <v>0</v>
      </c>
      <c r="EM114" s="1">
        <v>0</v>
      </c>
      <c r="EN114" s="1">
        <v>0</v>
      </c>
      <c r="EO114" s="1">
        <v>0</v>
      </c>
      <c r="EP114" s="1">
        <v>0</v>
      </c>
      <c r="EQ114" s="1">
        <v>0</v>
      </c>
      <c r="ER114" s="1">
        <v>0</v>
      </c>
      <c r="ES114" s="1">
        <v>0</v>
      </c>
      <c r="ET114" s="1">
        <v>0</v>
      </c>
      <c r="EU114" s="1">
        <v>0</v>
      </c>
      <c r="EV114" s="1">
        <v>0</v>
      </c>
      <c r="EW114" s="1">
        <v>0</v>
      </c>
      <c r="EX114" s="1">
        <v>0</v>
      </c>
      <c r="EY114" s="1">
        <v>0</v>
      </c>
      <c r="EZ114" s="1">
        <v>0</v>
      </c>
      <c r="FA114" s="1">
        <v>0</v>
      </c>
      <c r="FB114" s="1">
        <v>0</v>
      </c>
      <c r="FC114" s="1">
        <v>34</v>
      </c>
      <c r="FD114" s="1">
        <v>0</v>
      </c>
      <c r="FE114" s="1">
        <f t="shared" si="46"/>
        <v>34</v>
      </c>
      <c r="FF114" s="1">
        <f>DN157</f>
        <v>23</v>
      </c>
      <c r="FG114" s="1">
        <f t="shared" si="47"/>
        <v>0</v>
      </c>
    </row>
    <row r="115" spans="8:163" ht="15.75" thickBot="1" x14ac:dyDescent="0.3">
      <c r="H115" s="1" t="s">
        <v>48</v>
      </c>
      <c r="I115" s="1">
        <f t="shared" si="45"/>
        <v>0</v>
      </c>
      <c r="J115" s="1">
        <f t="shared" si="49"/>
        <v>0</v>
      </c>
      <c r="K115" s="1">
        <f t="shared" si="50"/>
        <v>0</v>
      </c>
      <c r="L115" s="1">
        <f t="shared" si="51"/>
        <v>0</v>
      </c>
      <c r="M115" s="1">
        <f t="shared" si="52"/>
        <v>0</v>
      </c>
      <c r="N115" s="1">
        <f t="shared" si="53"/>
        <v>0</v>
      </c>
      <c r="O115" s="1">
        <f t="shared" si="54"/>
        <v>0</v>
      </c>
      <c r="P115" s="1">
        <f t="shared" si="55"/>
        <v>0</v>
      </c>
      <c r="Q115" s="1">
        <f t="shared" si="56"/>
        <v>0</v>
      </c>
      <c r="R115" s="1">
        <f t="shared" si="57"/>
        <v>0</v>
      </c>
      <c r="S115" s="1">
        <f t="shared" si="58"/>
        <v>0</v>
      </c>
      <c r="T115" s="1">
        <f t="shared" si="59"/>
        <v>0</v>
      </c>
      <c r="U115" s="1">
        <f t="shared" si="60"/>
        <v>0</v>
      </c>
      <c r="V115" s="1">
        <f t="shared" si="61"/>
        <v>0</v>
      </c>
      <c r="W115" s="1">
        <f t="shared" si="62"/>
        <v>0</v>
      </c>
      <c r="X115" s="1">
        <f t="shared" si="63"/>
        <v>0</v>
      </c>
      <c r="Y115" s="1">
        <f t="shared" si="64"/>
        <v>0</v>
      </c>
      <c r="Z115" s="1">
        <f t="shared" si="65"/>
        <v>0</v>
      </c>
      <c r="AA115" s="1">
        <f t="shared" si="66"/>
        <v>0</v>
      </c>
      <c r="AB115" s="1">
        <f t="shared" si="67"/>
        <v>0</v>
      </c>
      <c r="AC115" s="1">
        <f t="shared" si="68"/>
        <v>0</v>
      </c>
      <c r="AD115" s="1">
        <f t="shared" si="69"/>
        <v>0</v>
      </c>
      <c r="AE115" s="1">
        <f t="shared" si="70"/>
        <v>0</v>
      </c>
      <c r="AF115" s="1">
        <f t="shared" si="71"/>
        <v>0</v>
      </c>
      <c r="AG115" s="1">
        <f t="shared" si="72"/>
        <v>0</v>
      </c>
      <c r="AH115" s="1">
        <f t="shared" si="73"/>
        <v>0</v>
      </c>
      <c r="AI115" s="1">
        <f t="shared" si="74"/>
        <v>0</v>
      </c>
      <c r="AJ115" s="1">
        <f t="shared" si="75"/>
        <v>0</v>
      </c>
      <c r="AK115" s="1">
        <f t="shared" si="76"/>
        <v>0</v>
      </c>
      <c r="AL115" s="1">
        <f t="shared" si="77"/>
        <v>0</v>
      </c>
      <c r="AM115" s="1">
        <f t="shared" si="78"/>
        <v>0</v>
      </c>
      <c r="AN115" s="1">
        <f t="shared" si="79"/>
        <v>0</v>
      </c>
      <c r="AO115" s="1">
        <f t="shared" si="80"/>
        <v>0</v>
      </c>
      <c r="AP115" s="1">
        <f t="shared" si="81"/>
        <v>0</v>
      </c>
      <c r="AQ115" s="1">
        <f t="shared" si="82"/>
        <v>0</v>
      </c>
      <c r="AR115" s="1">
        <f t="shared" si="83"/>
        <v>0</v>
      </c>
      <c r="AS115" s="1">
        <f t="shared" si="84"/>
        <v>0</v>
      </c>
      <c r="AT115" s="1">
        <f t="shared" si="85"/>
        <v>0</v>
      </c>
      <c r="AU115" s="1">
        <f t="shared" si="86"/>
        <v>0</v>
      </c>
      <c r="AV115" s="1">
        <f t="shared" si="87"/>
        <v>0</v>
      </c>
      <c r="AW115" s="1">
        <f t="shared" si="88"/>
        <v>0</v>
      </c>
      <c r="AX115" s="1">
        <f t="shared" si="89"/>
        <v>0</v>
      </c>
      <c r="AY115" s="1">
        <f t="shared" si="90"/>
        <v>-47</v>
      </c>
      <c r="AZ115" s="1">
        <f t="shared" si="91"/>
        <v>0</v>
      </c>
      <c r="BA115" s="1">
        <f t="shared" si="92"/>
        <v>0</v>
      </c>
      <c r="BB115" s="1">
        <f t="shared" si="93"/>
        <v>0</v>
      </c>
      <c r="BC115" s="1">
        <f t="shared" si="94"/>
        <v>0</v>
      </c>
      <c r="BD115" s="1">
        <f t="shared" si="95"/>
        <v>0</v>
      </c>
      <c r="BE115" s="1">
        <f t="shared" si="96"/>
        <v>0</v>
      </c>
      <c r="BF115" s="1">
        <f t="shared" si="97"/>
        <v>0</v>
      </c>
      <c r="BG115" s="1">
        <f t="shared" si="98"/>
        <v>0</v>
      </c>
      <c r="BH115" s="1">
        <f t="shared" si="99"/>
        <v>0</v>
      </c>
      <c r="BI115" s="1">
        <f t="shared" si="100"/>
        <v>0</v>
      </c>
      <c r="BJ115" s="1">
        <f t="shared" si="101"/>
        <v>0</v>
      </c>
      <c r="BK115" s="1">
        <f t="shared" si="102"/>
        <v>0</v>
      </c>
      <c r="BL115" s="1">
        <f t="shared" si="103"/>
        <v>0</v>
      </c>
      <c r="BM115" s="1">
        <f t="shared" si="104"/>
        <v>0</v>
      </c>
      <c r="BN115" s="1">
        <f t="shared" si="105"/>
        <v>0</v>
      </c>
      <c r="BO115" s="1">
        <f t="shared" si="106"/>
        <v>0</v>
      </c>
      <c r="BP115" s="1">
        <f t="shared" si="107"/>
        <v>0</v>
      </c>
      <c r="BQ115" s="1">
        <f t="shared" si="108"/>
        <v>0</v>
      </c>
      <c r="BR115" s="1">
        <f t="shared" si="109"/>
        <v>0</v>
      </c>
      <c r="BS115" s="1">
        <f t="shared" si="110"/>
        <v>0</v>
      </c>
      <c r="BT115" s="1">
        <f t="shared" si="111"/>
        <v>0</v>
      </c>
      <c r="BU115" s="1">
        <f t="shared" si="48"/>
        <v>0</v>
      </c>
      <c r="BV115" s="1">
        <f t="shared" si="112"/>
        <v>0</v>
      </c>
      <c r="BW115" s="1">
        <f t="shared" si="113"/>
        <v>0</v>
      </c>
      <c r="BX115" s="1">
        <f t="shared" si="114"/>
        <v>0</v>
      </c>
      <c r="BY115" s="1">
        <f t="shared" si="115"/>
        <v>0</v>
      </c>
      <c r="BZ115" s="1">
        <f t="shared" si="116"/>
        <v>0</v>
      </c>
      <c r="CA115" s="1">
        <f t="shared" si="117"/>
        <v>0</v>
      </c>
      <c r="CB115" s="1">
        <f t="shared" si="118"/>
        <v>0</v>
      </c>
      <c r="CC115" s="1">
        <f t="shared" si="119"/>
        <v>0</v>
      </c>
      <c r="CD115" s="1">
        <f t="shared" si="120"/>
        <v>0</v>
      </c>
      <c r="CE115" s="1"/>
      <c r="CH115" s="1" t="s">
        <v>48</v>
      </c>
      <c r="CI115" s="1">
        <v>0</v>
      </c>
      <c r="CJ115" s="1">
        <v>0</v>
      </c>
      <c r="CK115" s="1">
        <v>0</v>
      </c>
      <c r="CL115" s="1">
        <v>0</v>
      </c>
      <c r="CM115" s="1">
        <v>0</v>
      </c>
      <c r="CN115" s="1">
        <v>0</v>
      </c>
      <c r="CO115" s="1">
        <v>0</v>
      </c>
      <c r="CP115" s="1">
        <v>0</v>
      </c>
      <c r="CQ115" s="1">
        <v>0</v>
      </c>
      <c r="CR115" s="1">
        <v>0</v>
      </c>
      <c r="CS115" s="1">
        <v>0</v>
      </c>
      <c r="CT115" s="1">
        <v>0</v>
      </c>
      <c r="CU115" s="1">
        <v>0</v>
      </c>
      <c r="CV115" s="1">
        <v>0</v>
      </c>
      <c r="CW115" s="1">
        <v>0</v>
      </c>
      <c r="CX115" s="1">
        <v>0</v>
      </c>
      <c r="CY115" s="1">
        <v>0</v>
      </c>
      <c r="CZ115" s="1">
        <v>0</v>
      </c>
      <c r="DA115" s="1">
        <v>0</v>
      </c>
      <c r="DB115" s="1">
        <v>0</v>
      </c>
      <c r="DC115" s="1">
        <v>0</v>
      </c>
      <c r="DD115" s="1">
        <v>0</v>
      </c>
      <c r="DE115" s="1">
        <v>0</v>
      </c>
      <c r="DF115" s="1">
        <v>0</v>
      </c>
      <c r="DG115" s="1">
        <v>0</v>
      </c>
      <c r="DH115" s="1">
        <v>0</v>
      </c>
      <c r="DI115" s="1">
        <v>0</v>
      </c>
      <c r="DJ115" s="1">
        <v>0</v>
      </c>
      <c r="DK115" s="1">
        <v>0</v>
      </c>
      <c r="DL115" s="1">
        <v>0</v>
      </c>
      <c r="DM115" s="1">
        <v>0</v>
      </c>
      <c r="DN115" s="1">
        <v>0</v>
      </c>
      <c r="DO115" s="1">
        <v>0</v>
      </c>
      <c r="DP115" s="1">
        <v>0</v>
      </c>
      <c r="DQ115" s="1">
        <v>0</v>
      </c>
      <c r="DR115" s="1">
        <v>0</v>
      </c>
      <c r="DS115" s="1">
        <v>0</v>
      </c>
      <c r="DT115" s="1">
        <v>0</v>
      </c>
      <c r="DU115" s="1">
        <v>0</v>
      </c>
      <c r="DV115" s="1">
        <v>0</v>
      </c>
      <c r="DW115" s="1">
        <v>0</v>
      </c>
      <c r="DX115" s="1">
        <v>0</v>
      </c>
      <c r="DY115" s="1">
        <v>23</v>
      </c>
      <c r="DZ115" s="1">
        <v>0</v>
      </c>
      <c r="EA115" s="1">
        <v>0</v>
      </c>
      <c r="EB115" s="1">
        <v>0</v>
      </c>
      <c r="EC115" s="1">
        <v>0</v>
      </c>
      <c r="ED115" s="1">
        <v>0</v>
      </c>
      <c r="EE115" s="1">
        <v>0</v>
      </c>
      <c r="EF115" s="1">
        <v>0</v>
      </c>
      <c r="EG115" s="1">
        <v>0</v>
      </c>
      <c r="EH115" s="1">
        <v>0</v>
      </c>
      <c r="EI115" s="1">
        <v>0</v>
      </c>
      <c r="EJ115" s="1">
        <v>0</v>
      </c>
      <c r="EK115" s="1">
        <v>0</v>
      </c>
      <c r="EL115" s="1">
        <v>0</v>
      </c>
      <c r="EM115" s="1">
        <v>0</v>
      </c>
      <c r="EN115" s="1">
        <v>0</v>
      </c>
      <c r="EO115" s="1">
        <v>0</v>
      </c>
      <c r="EP115" s="1">
        <v>0</v>
      </c>
      <c r="EQ115" s="1">
        <v>0</v>
      </c>
      <c r="ER115" s="1">
        <v>0</v>
      </c>
      <c r="ES115" s="1">
        <v>0</v>
      </c>
      <c r="ET115" s="1">
        <v>0</v>
      </c>
      <c r="EU115" s="1">
        <v>0</v>
      </c>
      <c r="EV115" s="1">
        <v>0</v>
      </c>
      <c r="EW115" s="1">
        <v>0</v>
      </c>
      <c r="EX115" s="1">
        <v>0</v>
      </c>
      <c r="EY115" s="1">
        <v>0</v>
      </c>
      <c r="EZ115" s="1">
        <v>0</v>
      </c>
      <c r="FA115" s="1">
        <v>0</v>
      </c>
      <c r="FB115" s="1">
        <v>0</v>
      </c>
      <c r="FC115" s="1">
        <v>0</v>
      </c>
      <c r="FD115" s="1">
        <v>0</v>
      </c>
      <c r="FE115" s="1">
        <f t="shared" si="46"/>
        <v>23</v>
      </c>
      <c r="FF115" s="1">
        <f>DO157</f>
        <v>17</v>
      </c>
      <c r="FG115" s="1">
        <f t="shared" si="47"/>
        <v>0</v>
      </c>
    </row>
    <row r="116" spans="8:163" ht="15.75" thickBot="1" x14ac:dyDescent="0.3">
      <c r="H116" s="1" t="s">
        <v>49</v>
      </c>
      <c r="I116" s="1">
        <f t="shared" si="45"/>
        <v>0</v>
      </c>
      <c r="J116" s="1">
        <f t="shared" si="49"/>
        <v>0</v>
      </c>
      <c r="K116" s="1">
        <f t="shared" si="50"/>
        <v>0</v>
      </c>
      <c r="L116" s="1">
        <f t="shared" si="51"/>
        <v>0</v>
      </c>
      <c r="M116" s="1">
        <f t="shared" si="52"/>
        <v>0</v>
      </c>
      <c r="N116" s="1">
        <f t="shared" si="53"/>
        <v>0</v>
      </c>
      <c r="O116" s="1">
        <f t="shared" si="54"/>
        <v>0</v>
      </c>
      <c r="P116" s="1">
        <f t="shared" si="55"/>
        <v>0</v>
      </c>
      <c r="Q116" s="1">
        <f t="shared" si="56"/>
        <v>0</v>
      </c>
      <c r="R116" s="1">
        <f t="shared" si="57"/>
        <v>0</v>
      </c>
      <c r="S116" s="1">
        <f t="shared" si="58"/>
        <v>0</v>
      </c>
      <c r="T116" s="1">
        <f t="shared" si="59"/>
        <v>0</v>
      </c>
      <c r="U116" s="1">
        <f t="shared" si="60"/>
        <v>0</v>
      </c>
      <c r="V116" s="1">
        <f t="shared" si="61"/>
        <v>0</v>
      </c>
      <c r="W116" s="1">
        <f t="shared" si="62"/>
        <v>0</v>
      </c>
      <c r="X116" s="1">
        <f t="shared" si="63"/>
        <v>0</v>
      </c>
      <c r="Y116" s="1">
        <f t="shared" si="64"/>
        <v>0</v>
      </c>
      <c r="Z116" s="1">
        <f t="shared" si="65"/>
        <v>0</v>
      </c>
      <c r="AA116" s="1">
        <f t="shared" si="66"/>
        <v>0</v>
      </c>
      <c r="AB116" s="1">
        <f t="shared" si="67"/>
        <v>0</v>
      </c>
      <c r="AC116" s="1">
        <f t="shared" si="68"/>
        <v>0</v>
      </c>
      <c r="AD116" s="1">
        <f t="shared" si="69"/>
        <v>0</v>
      </c>
      <c r="AE116" s="1">
        <f t="shared" si="70"/>
        <v>0</v>
      </c>
      <c r="AF116" s="1">
        <f t="shared" si="71"/>
        <v>0</v>
      </c>
      <c r="AG116" s="1">
        <f t="shared" si="72"/>
        <v>0</v>
      </c>
      <c r="AH116" s="1">
        <f t="shared" si="73"/>
        <v>0</v>
      </c>
      <c r="AI116" s="1">
        <f t="shared" si="74"/>
        <v>0</v>
      </c>
      <c r="AJ116" s="1">
        <f t="shared" si="75"/>
        <v>0</v>
      </c>
      <c r="AK116" s="1">
        <f t="shared" si="76"/>
        <v>0</v>
      </c>
      <c r="AL116" s="1">
        <f t="shared" si="77"/>
        <v>0</v>
      </c>
      <c r="AM116" s="1">
        <f t="shared" si="78"/>
        <v>0</v>
      </c>
      <c r="AN116" s="1">
        <f t="shared" si="79"/>
        <v>0</v>
      </c>
      <c r="AO116" s="1">
        <f t="shared" si="80"/>
        <v>0</v>
      </c>
      <c r="AP116" s="1">
        <f t="shared" si="81"/>
        <v>0</v>
      </c>
      <c r="AQ116" s="1">
        <f t="shared" si="82"/>
        <v>0</v>
      </c>
      <c r="AR116" s="1">
        <f t="shared" si="83"/>
        <v>0</v>
      </c>
      <c r="AS116" s="1">
        <f t="shared" si="84"/>
        <v>0</v>
      </c>
      <c r="AT116" s="1">
        <f t="shared" si="85"/>
        <v>0</v>
      </c>
      <c r="AU116" s="1">
        <f t="shared" si="86"/>
        <v>0</v>
      </c>
      <c r="AV116" s="1">
        <f t="shared" si="87"/>
        <v>-25</v>
      </c>
      <c r="AW116" s="1">
        <f t="shared" si="88"/>
        <v>0</v>
      </c>
      <c r="AX116" s="1">
        <f t="shared" si="89"/>
        <v>0</v>
      </c>
      <c r="AY116" s="1">
        <f t="shared" si="90"/>
        <v>0</v>
      </c>
      <c r="AZ116" s="1">
        <f t="shared" si="91"/>
        <v>0</v>
      </c>
      <c r="BA116" s="1">
        <f t="shared" si="92"/>
        <v>0</v>
      </c>
      <c r="BB116" s="1">
        <f t="shared" si="93"/>
        <v>0</v>
      </c>
      <c r="BC116" s="1">
        <f t="shared" si="94"/>
        <v>0</v>
      </c>
      <c r="BD116" s="1">
        <f t="shared" si="95"/>
        <v>0</v>
      </c>
      <c r="BE116" s="1">
        <f t="shared" si="96"/>
        <v>0</v>
      </c>
      <c r="BF116" s="1">
        <f t="shared" si="97"/>
        <v>0</v>
      </c>
      <c r="BG116" s="1">
        <f t="shared" si="98"/>
        <v>0</v>
      </c>
      <c r="BH116" s="1">
        <f t="shared" si="99"/>
        <v>0</v>
      </c>
      <c r="BI116" s="1">
        <f t="shared" si="100"/>
        <v>0</v>
      </c>
      <c r="BJ116" s="1">
        <f t="shared" si="101"/>
        <v>0</v>
      </c>
      <c r="BK116" s="1">
        <f t="shared" si="102"/>
        <v>0</v>
      </c>
      <c r="BL116" s="1">
        <f t="shared" si="103"/>
        <v>0</v>
      </c>
      <c r="BM116" s="1">
        <f t="shared" si="104"/>
        <v>0</v>
      </c>
      <c r="BN116" s="1">
        <f t="shared" si="105"/>
        <v>0</v>
      </c>
      <c r="BO116" s="1">
        <f t="shared" si="106"/>
        <v>0</v>
      </c>
      <c r="BP116" s="1">
        <f t="shared" si="107"/>
        <v>0</v>
      </c>
      <c r="BQ116" s="1">
        <f t="shared" si="108"/>
        <v>0</v>
      </c>
      <c r="BR116" s="1">
        <f t="shared" si="109"/>
        <v>0</v>
      </c>
      <c r="BS116" s="1">
        <f t="shared" si="110"/>
        <v>0</v>
      </c>
      <c r="BT116" s="1">
        <f t="shared" si="111"/>
        <v>0</v>
      </c>
      <c r="BU116" s="1">
        <f t="shared" si="48"/>
        <v>0</v>
      </c>
      <c r="BV116" s="1">
        <f t="shared" si="112"/>
        <v>0</v>
      </c>
      <c r="BW116" s="1">
        <f t="shared" si="113"/>
        <v>0</v>
      </c>
      <c r="BX116" s="1">
        <f t="shared" si="114"/>
        <v>0</v>
      </c>
      <c r="BY116" s="1">
        <f t="shared" si="115"/>
        <v>0</v>
      </c>
      <c r="BZ116" s="1">
        <f t="shared" si="116"/>
        <v>0</v>
      </c>
      <c r="CA116" s="1">
        <f t="shared" si="117"/>
        <v>0</v>
      </c>
      <c r="CB116" s="1">
        <f t="shared" si="118"/>
        <v>0</v>
      </c>
      <c r="CC116" s="1">
        <f t="shared" si="119"/>
        <v>0</v>
      </c>
      <c r="CD116" s="1">
        <f t="shared" si="120"/>
        <v>0</v>
      </c>
      <c r="CE116" s="1"/>
      <c r="CH116" s="1" t="s">
        <v>49</v>
      </c>
      <c r="CI116" s="1">
        <v>0</v>
      </c>
      <c r="CJ116" s="1">
        <v>0</v>
      </c>
      <c r="CK116" s="1">
        <v>0</v>
      </c>
      <c r="CL116" s="1">
        <v>0</v>
      </c>
      <c r="CM116" s="1">
        <v>0</v>
      </c>
      <c r="CN116" s="1">
        <v>0</v>
      </c>
      <c r="CO116" s="1">
        <v>0</v>
      </c>
      <c r="CP116" s="1">
        <v>0</v>
      </c>
      <c r="CQ116" s="1">
        <v>0</v>
      </c>
      <c r="CR116" s="1">
        <v>0</v>
      </c>
      <c r="CS116" s="1">
        <v>0</v>
      </c>
      <c r="CT116" s="1">
        <v>0</v>
      </c>
      <c r="CU116" s="1">
        <v>0</v>
      </c>
      <c r="CV116" s="1">
        <v>0</v>
      </c>
      <c r="CW116" s="1">
        <v>0</v>
      </c>
      <c r="CX116" s="1">
        <v>0</v>
      </c>
      <c r="CY116" s="1">
        <v>0</v>
      </c>
      <c r="CZ116" s="1">
        <v>0</v>
      </c>
      <c r="DA116" s="1">
        <v>0</v>
      </c>
      <c r="DB116" s="1">
        <v>0</v>
      </c>
      <c r="DC116" s="1">
        <v>0</v>
      </c>
      <c r="DD116" s="1">
        <v>0</v>
      </c>
      <c r="DE116" s="1">
        <v>0</v>
      </c>
      <c r="DF116" s="1">
        <v>0</v>
      </c>
      <c r="DG116" s="1">
        <v>0</v>
      </c>
      <c r="DH116" s="1">
        <v>0</v>
      </c>
      <c r="DI116" s="1">
        <v>0</v>
      </c>
      <c r="DJ116" s="1">
        <v>0</v>
      </c>
      <c r="DK116" s="1">
        <v>0</v>
      </c>
      <c r="DL116" s="1">
        <v>0</v>
      </c>
      <c r="DM116" s="1">
        <v>0</v>
      </c>
      <c r="DN116" s="1">
        <v>0</v>
      </c>
      <c r="DO116" s="1">
        <v>0</v>
      </c>
      <c r="DP116" s="1">
        <v>0</v>
      </c>
      <c r="DQ116" s="1">
        <v>0</v>
      </c>
      <c r="DR116" s="1">
        <v>0</v>
      </c>
      <c r="DS116" s="1">
        <v>0</v>
      </c>
      <c r="DT116" s="1">
        <v>0</v>
      </c>
      <c r="DU116" s="1">
        <v>0</v>
      </c>
      <c r="DV116" s="1">
        <v>45</v>
      </c>
      <c r="DW116" s="1">
        <v>0</v>
      </c>
      <c r="DX116" s="1">
        <v>0</v>
      </c>
      <c r="DY116" s="1">
        <v>0</v>
      </c>
      <c r="DZ116" s="1">
        <v>0</v>
      </c>
      <c r="EA116" s="1">
        <v>0</v>
      </c>
      <c r="EB116" s="1">
        <v>0</v>
      </c>
      <c r="EC116" s="1">
        <v>0</v>
      </c>
      <c r="ED116" s="1">
        <v>0</v>
      </c>
      <c r="EE116" s="1">
        <v>0</v>
      </c>
      <c r="EF116" s="1">
        <v>0</v>
      </c>
      <c r="EG116" s="1">
        <v>0</v>
      </c>
      <c r="EH116" s="1">
        <v>0</v>
      </c>
      <c r="EI116" s="1">
        <v>0</v>
      </c>
      <c r="EJ116" s="1">
        <v>0</v>
      </c>
      <c r="EK116" s="1">
        <v>0</v>
      </c>
      <c r="EL116" s="1">
        <v>0</v>
      </c>
      <c r="EM116" s="1">
        <v>0</v>
      </c>
      <c r="EN116" s="1">
        <v>0</v>
      </c>
      <c r="EO116" s="1">
        <v>0</v>
      </c>
      <c r="EP116" s="1">
        <v>0</v>
      </c>
      <c r="EQ116" s="1">
        <v>0</v>
      </c>
      <c r="ER116" s="1">
        <v>0</v>
      </c>
      <c r="ES116" s="1">
        <v>0</v>
      </c>
      <c r="ET116" s="1">
        <v>0</v>
      </c>
      <c r="EU116" s="1">
        <v>0</v>
      </c>
      <c r="EV116" s="1">
        <v>0</v>
      </c>
      <c r="EW116" s="1">
        <v>0</v>
      </c>
      <c r="EX116" s="1">
        <v>0</v>
      </c>
      <c r="EY116" s="1">
        <v>0</v>
      </c>
      <c r="EZ116" s="1">
        <v>0</v>
      </c>
      <c r="FA116" s="1">
        <v>0</v>
      </c>
      <c r="FB116" s="1">
        <v>0</v>
      </c>
      <c r="FC116" s="1">
        <v>0</v>
      </c>
      <c r="FD116" s="1">
        <v>0</v>
      </c>
      <c r="FE116" s="1">
        <f t="shared" si="46"/>
        <v>45</v>
      </c>
      <c r="FF116" s="1">
        <f>DP157</f>
        <v>33</v>
      </c>
      <c r="FG116" s="1">
        <f t="shared" si="47"/>
        <v>0</v>
      </c>
    </row>
    <row r="117" spans="8:163" ht="15.75" thickBot="1" x14ac:dyDescent="0.3">
      <c r="H117" s="1" t="s">
        <v>50</v>
      </c>
      <c r="I117" s="1">
        <f t="shared" si="45"/>
        <v>0</v>
      </c>
      <c r="J117" s="1">
        <f t="shared" si="49"/>
        <v>0</v>
      </c>
      <c r="K117" s="1">
        <f t="shared" si="50"/>
        <v>0</v>
      </c>
      <c r="L117" s="1">
        <f t="shared" si="51"/>
        <v>0</v>
      </c>
      <c r="M117" s="1">
        <f t="shared" si="52"/>
        <v>0</v>
      </c>
      <c r="N117" s="1">
        <f t="shared" si="53"/>
        <v>0</v>
      </c>
      <c r="O117" s="1">
        <f t="shared" si="54"/>
        <v>0</v>
      </c>
      <c r="P117" s="1">
        <f t="shared" si="55"/>
        <v>0</v>
      </c>
      <c r="Q117" s="1">
        <f t="shared" si="56"/>
        <v>0</v>
      </c>
      <c r="R117" s="1">
        <f t="shared" si="57"/>
        <v>0</v>
      </c>
      <c r="S117" s="1">
        <f t="shared" si="58"/>
        <v>0</v>
      </c>
      <c r="T117" s="1">
        <f t="shared" si="59"/>
        <v>0</v>
      </c>
      <c r="U117" s="1">
        <f t="shared" si="60"/>
        <v>0</v>
      </c>
      <c r="V117" s="1">
        <f t="shared" si="61"/>
        <v>0</v>
      </c>
      <c r="W117" s="1">
        <f t="shared" si="62"/>
        <v>0</v>
      </c>
      <c r="X117" s="1">
        <f t="shared" si="63"/>
        <v>0</v>
      </c>
      <c r="Y117" s="1">
        <f t="shared" si="64"/>
        <v>0</v>
      </c>
      <c r="Z117" s="1">
        <f t="shared" si="65"/>
        <v>0</v>
      </c>
      <c r="AA117" s="1">
        <f t="shared" si="66"/>
        <v>0</v>
      </c>
      <c r="AB117" s="1">
        <f t="shared" si="67"/>
        <v>0</v>
      </c>
      <c r="AC117" s="1">
        <f t="shared" si="68"/>
        <v>0</v>
      </c>
      <c r="AD117" s="1">
        <f t="shared" si="69"/>
        <v>0</v>
      </c>
      <c r="AE117" s="1">
        <f t="shared" si="70"/>
        <v>0</v>
      </c>
      <c r="AF117" s="1">
        <f t="shared" si="71"/>
        <v>0</v>
      </c>
      <c r="AG117" s="1">
        <f t="shared" si="72"/>
        <v>0</v>
      </c>
      <c r="AH117" s="1">
        <f t="shared" si="73"/>
        <v>0</v>
      </c>
      <c r="AI117" s="1">
        <f t="shared" si="74"/>
        <v>0</v>
      </c>
      <c r="AJ117" s="1">
        <f t="shared" si="75"/>
        <v>0</v>
      </c>
      <c r="AK117" s="1">
        <f t="shared" si="76"/>
        <v>0</v>
      </c>
      <c r="AL117" s="1">
        <f t="shared" si="77"/>
        <v>0</v>
      </c>
      <c r="AM117" s="1">
        <f t="shared" si="78"/>
        <v>0</v>
      </c>
      <c r="AN117" s="1">
        <f t="shared" si="79"/>
        <v>0</v>
      </c>
      <c r="AO117" s="1">
        <f t="shared" si="80"/>
        <v>0</v>
      </c>
      <c r="AP117" s="1">
        <f t="shared" si="81"/>
        <v>0</v>
      </c>
      <c r="AQ117" s="1">
        <f t="shared" si="82"/>
        <v>0</v>
      </c>
      <c r="AR117" s="1">
        <f t="shared" si="83"/>
        <v>0</v>
      </c>
      <c r="AS117" s="1">
        <f t="shared" si="84"/>
        <v>-47</v>
      </c>
      <c r="AT117" s="1">
        <f t="shared" si="85"/>
        <v>0</v>
      </c>
      <c r="AU117" s="1">
        <f t="shared" si="86"/>
        <v>0</v>
      </c>
      <c r="AV117" s="1">
        <f t="shared" si="87"/>
        <v>0</v>
      </c>
      <c r="AW117" s="1">
        <f t="shared" si="88"/>
        <v>0</v>
      </c>
      <c r="AX117" s="1">
        <f t="shared" si="89"/>
        <v>0</v>
      </c>
      <c r="AY117" s="1">
        <f t="shared" si="90"/>
        <v>0</v>
      </c>
      <c r="AZ117" s="1">
        <f t="shared" si="91"/>
        <v>0</v>
      </c>
      <c r="BA117" s="1">
        <f t="shared" si="92"/>
        <v>0</v>
      </c>
      <c r="BB117" s="1">
        <f t="shared" si="93"/>
        <v>0</v>
      </c>
      <c r="BC117" s="1">
        <f t="shared" si="94"/>
        <v>0</v>
      </c>
      <c r="BD117" s="1">
        <f t="shared" si="95"/>
        <v>0</v>
      </c>
      <c r="BE117" s="1">
        <f t="shared" si="96"/>
        <v>0</v>
      </c>
      <c r="BF117" s="1">
        <f t="shared" si="97"/>
        <v>0</v>
      </c>
      <c r="BG117" s="1">
        <f t="shared" si="98"/>
        <v>0</v>
      </c>
      <c r="BH117" s="1">
        <f t="shared" si="99"/>
        <v>0</v>
      </c>
      <c r="BI117" s="1">
        <f t="shared" si="100"/>
        <v>0</v>
      </c>
      <c r="BJ117" s="1">
        <f t="shared" si="101"/>
        <v>0</v>
      </c>
      <c r="BK117" s="1">
        <f t="shared" si="102"/>
        <v>0</v>
      </c>
      <c r="BL117" s="1">
        <f t="shared" si="103"/>
        <v>0</v>
      </c>
      <c r="BM117" s="1">
        <f t="shared" si="104"/>
        <v>0</v>
      </c>
      <c r="BN117" s="1">
        <f t="shared" si="105"/>
        <v>0</v>
      </c>
      <c r="BO117" s="1">
        <f t="shared" si="106"/>
        <v>0</v>
      </c>
      <c r="BP117" s="1">
        <f t="shared" si="107"/>
        <v>0</v>
      </c>
      <c r="BQ117" s="1">
        <f t="shared" si="108"/>
        <v>0</v>
      </c>
      <c r="BR117" s="1">
        <f t="shared" si="109"/>
        <v>0</v>
      </c>
      <c r="BS117" s="1">
        <f t="shared" si="110"/>
        <v>0</v>
      </c>
      <c r="BT117" s="1">
        <f t="shared" si="111"/>
        <v>0</v>
      </c>
      <c r="BU117" s="1">
        <f t="shared" si="48"/>
        <v>0</v>
      </c>
      <c r="BV117" s="1">
        <f t="shared" si="112"/>
        <v>0</v>
      </c>
      <c r="BW117" s="1">
        <f t="shared" si="113"/>
        <v>0</v>
      </c>
      <c r="BX117" s="1">
        <f t="shared" si="114"/>
        <v>0</v>
      </c>
      <c r="BY117" s="1">
        <f t="shared" si="115"/>
        <v>0</v>
      </c>
      <c r="BZ117" s="1">
        <f t="shared" si="116"/>
        <v>0</v>
      </c>
      <c r="CA117" s="1">
        <f t="shared" si="117"/>
        <v>0</v>
      </c>
      <c r="CB117" s="1">
        <f t="shared" si="118"/>
        <v>0</v>
      </c>
      <c r="CC117" s="1">
        <f t="shared" si="119"/>
        <v>0</v>
      </c>
      <c r="CD117" s="1">
        <f t="shared" si="120"/>
        <v>0</v>
      </c>
      <c r="CE117" s="1"/>
      <c r="CH117" s="1" t="s">
        <v>50</v>
      </c>
      <c r="CI117" s="1">
        <v>0</v>
      </c>
      <c r="CJ117" s="1">
        <v>0</v>
      </c>
      <c r="CK117" s="1">
        <v>0</v>
      </c>
      <c r="CL117" s="1">
        <v>0</v>
      </c>
      <c r="CM117" s="1">
        <v>0</v>
      </c>
      <c r="CN117" s="1">
        <v>0</v>
      </c>
      <c r="CO117" s="1">
        <v>0</v>
      </c>
      <c r="CP117" s="1">
        <v>0</v>
      </c>
      <c r="CQ117" s="1">
        <v>0</v>
      </c>
      <c r="CR117" s="1">
        <v>0</v>
      </c>
      <c r="CS117" s="1">
        <v>0</v>
      </c>
      <c r="CT117" s="1">
        <v>0</v>
      </c>
      <c r="CU117" s="1">
        <v>0</v>
      </c>
      <c r="CV117" s="1">
        <v>0</v>
      </c>
      <c r="CW117" s="1">
        <v>0</v>
      </c>
      <c r="CX117" s="1">
        <v>0</v>
      </c>
      <c r="CY117" s="1">
        <v>0</v>
      </c>
      <c r="CZ117" s="1">
        <v>0</v>
      </c>
      <c r="DA117" s="1">
        <v>0</v>
      </c>
      <c r="DB117" s="1">
        <v>0</v>
      </c>
      <c r="DC117" s="1">
        <v>0</v>
      </c>
      <c r="DD117" s="1">
        <v>0</v>
      </c>
      <c r="DE117" s="1">
        <v>0</v>
      </c>
      <c r="DF117" s="1">
        <v>0</v>
      </c>
      <c r="DG117" s="1">
        <v>0</v>
      </c>
      <c r="DH117" s="1">
        <v>0</v>
      </c>
      <c r="DI117" s="1">
        <v>0</v>
      </c>
      <c r="DJ117" s="1">
        <v>0</v>
      </c>
      <c r="DK117" s="1">
        <v>0</v>
      </c>
      <c r="DL117" s="1">
        <v>0</v>
      </c>
      <c r="DM117" s="1">
        <v>0</v>
      </c>
      <c r="DN117" s="1">
        <v>0</v>
      </c>
      <c r="DO117" s="1">
        <v>0</v>
      </c>
      <c r="DP117" s="1">
        <v>0</v>
      </c>
      <c r="DQ117" s="1">
        <v>0</v>
      </c>
      <c r="DR117" s="1">
        <v>0</v>
      </c>
      <c r="DS117" s="1">
        <v>23</v>
      </c>
      <c r="DT117" s="1">
        <v>0</v>
      </c>
      <c r="DU117" s="1">
        <v>0</v>
      </c>
      <c r="DV117" s="1">
        <v>0</v>
      </c>
      <c r="DW117" s="1">
        <v>0</v>
      </c>
      <c r="DX117" s="1">
        <v>0</v>
      </c>
      <c r="DY117" s="1">
        <v>0</v>
      </c>
      <c r="DZ117" s="1">
        <v>0</v>
      </c>
      <c r="EA117" s="1">
        <v>0</v>
      </c>
      <c r="EB117" s="1">
        <v>0</v>
      </c>
      <c r="EC117" s="1">
        <v>0</v>
      </c>
      <c r="ED117" s="1">
        <v>0</v>
      </c>
      <c r="EE117" s="1">
        <v>0</v>
      </c>
      <c r="EF117" s="1">
        <v>0</v>
      </c>
      <c r="EG117" s="1">
        <v>0</v>
      </c>
      <c r="EH117" s="1">
        <v>0</v>
      </c>
      <c r="EI117" s="1">
        <v>0</v>
      </c>
      <c r="EJ117" s="1">
        <v>0</v>
      </c>
      <c r="EK117" s="1">
        <v>0</v>
      </c>
      <c r="EL117" s="1">
        <v>0</v>
      </c>
      <c r="EM117" s="1">
        <v>0</v>
      </c>
      <c r="EN117" s="1">
        <v>0</v>
      </c>
      <c r="EO117" s="1">
        <v>0</v>
      </c>
      <c r="EP117" s="1">
        <v>0</v>
      </c>
      <c r="EQ117" s="1">
        <v>0</v>
      </c>
      <c r="ER117" s="1">
        <v>0</v>
      </c>
      <c r="ES117" s="1">
        <v>0</v>
      </c>
      <c r="ET117" s="1">
        <v>0</v>
      </c>
      <c r="EU117" s="1">
        <v>0</v>
      </c>
      <c r="EV117" s="1">
        <v>0</v>
      </c>
      <c r="EW117" s="1">
        <v>0</v>
      </c>
      <c r="EX117" s="1">
        <v>0</v>
      </c>
      <c r="EY117" s="1">
        <v>0</v>
      </c>
      <c r="EZ117" s="1">
        <v>0</v>
      </c>
      <c r="FA117" s="1">
        <v>0</v>
      </c>
      <c r="FB117" s="1">
        <v>0</v>
      </c>
      <c r="FC117" s="1">
        <v>0</v>
      </c>
      <c r="FD117" s="1">
        <v>0</v>
      </c>
      <c r="FE117" s="1">
        <f t="shared" si="46"/>
        <v>23</v>
      </c>
      <c r="FF117" s="1">
        <f>DQ157</f>
        <v>9</v>
      </c>
      <c r="FG117" s="1">
        <f t="shared" si="47"/>
        <v>0</v>
      </c>
    </row>
    <row r="118" spans="8:163" ht="15.75" thickBot="1" x14ac:dyDescent="0.3">
      <c r="H118" s="1" t="s">
        <v>51</v>
      </c>
      <c r="I118" s="1">
        <f t="shared" si="45"/>
        <v>0</v>
      </c>
      <c r="J118" s="1">
        <f t="shared" si="49"/>
        <v>0</v>
      </c>
      <c r="K118" s="1">
        <f t="shared" si="50"/>
        <v>0</v>
      </c>
      <c r="L118" s="1">
        <f t="shared" si="51"/>
        <v>0</v>
      </c>
      <c r="M118" s="1">
        <f t="shared" si="52"/>
        <v>0</v>
      </c>
      <c r="N118" s="1">
        <f t="shared" si="53"/>
        <v>0</v>
      </c>
      <c r="O118" s="1">
        <f t="shared" si="54"/>
        <v>0</v>
      </c>
      <c r="P118" s="1">
        <f t="shared" si="55"/>
        <v>0</v>
      </c>
      <c r="Q118" s="1">
        <f t="shared" si="56"/>
        <v>0</v>
      </c>
      <c r="R118" s="1">
        <f t="shared" si="57"/>
        <v>0</v>
      </c>
      <c r="S118" s="1">
        <f t="shared" si="58"/>
        <v>0</v>
      </c>
      <c r="T118" s="1">
        <f t="shared" si="59"/>
        <v>0</v>
      </c>
      <c r="U118" s="1">
        <f t="shared" si="60"/>
        <v>0</v>
      </c>
      <c r="V118" s="1">
        <f t="shared" si="61"/>
        <v>0</v>
      </c>
      <c r="W118" s="1">
        <f t="shared" si="62"/>
        <v>0</v>
      </c>
      <c r="X118" s="1">
        <f t="shared" si="63"/>
        <v>0</v>
      </c>
      <c r="Y118" s="1">
        <f t="shared" si="64"/>
        <v>0</v>
      </c>
      <c r="Z118" s="1">
        <f t="shared" si="65"/>
        <v>0</v>
      </c>
      <c r="AA118" s="1">
        <f t="shared" si="66"/>
        <v>0</v>
      </c>
      <c r="AB118" s="1">
        <f t="shared" si="67"/>
        <v>0</v>
      </c>
      <c r="AC118" s="1">
        <f t="shared" si="68"/>
        <v>0</v>
      </c>
      <c r="AD118" s="1">
        <f t="shared" si="69"/>
        <v>0</v>
      </c>
      <c r="AE118" s="1">
        <f t="shared" si="70"/>
        <v>0</v>
      </c>
      <c r="AF118" s="1">
        <f t="shared" si="71"/>
        <v>0</v>
      </c>
      <c r="AG118" s="1">
        <f t="shared" si="72"/>
        <v>0</v>
      </c>
      <c r="AH118" s="1">
        <f t="shared" si="73"/>
        <v>0</v>
      </c>
      <c r="AI118" s="1">
        <f t="shared" si="74"/>
        <v>-8</v>
      </c>
      <c r="AJ118" s="1">
        <f t="shared" si="75"/>
        <v>0</v>
      </c>
      <c r="AK118" s="1">
        <f t="shared" si="76"/>
        <v>0</v>
      </c>
      <c r="AL118" s="1">
        <f t="shared" si="77"/>
        <v>0</v>
      </c>
      <c r="AM118" s="1">
        <f t="shared" si="78"/>
        <v>0</v>
      </c>
      <c r="AN118" s="1">
        <f t="shared" si="79"/>
        <v>0</v>
      </c>
      <c r="AO118" s="1">
        <f t="shared" si="80"/>
        <v>0</v>
      </c>
      <c r="AP118" s="1">
        <f t="shared" si="81"/>
        <v>0</v>
      </c>
      <c r="AQ118" s="1">
        <f t="shared" si="82"/>
        <v>0</v>
      </c>
      <c r="AR118" s="1">
        <f t="shared" si="83"/>
        <v>0</v>
      </c>
      <c r="AS118" s="1">
        <f t="shared" si="84"/>
        <v>0</v>
      </c>
      <c r="AT118" s="1">
        <f t="shared" si="85"/>
        <v>0</v>
      </c>
      <c r="AU118" s="1">
        <f t="shared" si="86"/>
        <v>0</v>
      </c>
      <c r="AV118" s="1">
        <f t="shared" si="87"/>
        <v>0</v>
      </c>
      <c r="AW118" s="1">
        <f t="shared" si="88"/>
        <v>0</v>
      </c>
      <c r="AX118" s="1">
        <f t="shared" si="89"/>
        <v>0</v>
      </c>
      <c r="AY118" s="1">
        <f t="shared" si="90"/>
        <v>0</v>
      </c>
      <c r="AZ118" s="1">
        <f t="shared" si="91"/>
        <v>0</v>
      </c>
      <c r="BA118" s="1">
        <f t="shared" si="92"/>
        <v>0</v>
      </c>
      <c r="BB118" s="1">
        <f t="shared" si="93"/>
        <v>0</v>
      </c>
      <c r="BC118" s="1">
        <f t="shared" si="94"/>
        <v>0</v>
      </c>
      <c r="BD118" s="1">
        <f t="shared" si="95"/>
        <v>0</v>
      </c>
      <c r="BE118" s="1">
        <f t="shared" si="96"/>
        <v>0</v>
      </c>
      <c r="BF118" s="1">
        <f t="shared" si="97"/>
        <v>0</v>
      </c>
      <c r="BG118" s="1">
        <f t="shared" si="98"/>
        <v>0</v>
      </c>
      <c r="BH118" s="1">
        <f t="shared" si="99"/>
        <v>0</v>
      </c>
      <c r="BI118" s="1">
        <f t="shared" si="100"/>
        <v>0</v>
      </c>
      <c r="BJ118" s="1">
        <f t="shared" si="101"/>
        <v>0</v>
      </c>
      <c r="BK118" s="1">
        <f t="shared" si="102"/>
        <v>0</v>
      </c>
      <c r="BL118" s="1">
        <f t="shared" si="103"/>
        <v>0</v>
      </c>
      <c r="BM118" s="1">
        <f t="shared" si="104"/>
        <v>0</v>
      </c>
      <c r="BN118" s="1">
        <f t="shared" si="105"/>
        <v>0</v>
      </c>
      <c r="BO118" s="1">
        <f t="shared" si="106"/>
        <v>0</v>
      </c>
      <c r="BP118" s="1">
        <f t="shared" si="107"/>
        <v>0</v>
      </c>
      <c r="BQ118" s="1">
        <f t="shared" si="108"/>
        <v>0</v>
      </c>
      <c r="BR118" s="1">
        <f t="shared" si="109"/>
        <v>0</v>
      </c>
      <c r="BS118" s="1">
        <f t="shared" si="110"/>
        <v>0</v>
      </c>
      <c r="BT118" s="1">
        <f t="shared" si="111"/>
        <v>0</v>
      </c>
      <c r="BU118" s="1">
        <f t="shared" si="48"/>
        <v>0</v>
      </c>
      <c r="BV118" s="1">
        <f t="shared" si="112"/>
        <v>0</v>
      </c>
      <c r="BW118" s="1">
        <f t="shared" si="113"/>
        <v>0</v>
      </c>
      <c r="BX118" s="1">
        <f t="shared" si="114"/>
        <v>0</v>
      </c>
      <c r="BY118" s="1">
        <f t="shared" si="115"/>
        <v>0</v>
      </c>
      <c r="BZ118" s="1">
        <f t="shared" si="116"/>
        <v>0</v>
      </c>
      <c r="CA118" s="1">
        <f t="shared" si="117"/>
        <v>0</v>
      </c>
      <c r="CB118" s="1">
        <f t="shared" si="118"/>
        <v>0</v>
      </c>
      <c r="CC118" s="1">
        <f t="shared" si="119"/>
        <v>0</v>
      </c>
      <c r="CD118" s="1">
        <f t="shared" si="120"/>
        <v>0</v>
      </c>
      <c r="CE118" s="1"/>
      <c r="CH118" s="1" t="s">
        <v>51</v>
      </c>
      <c r="CI118" s="1">
        <v>0</v>
      </c>
      <c r="CJ118" s="1">
        <v>0</v>
      </c>
      <c r="CK118" s="1">
        <v>0</v>
      </c>
      <c r="CL118" s="1">
        <v>0</v>
      </c>
      <c r="CM118" s="1">
        <v>0</v>
      </c>
      <c r="CN118" s="1">
        <v>0</v>
      </c>
      <c r="CO118" s="1">
        <v>0</v>
      </c>
      <c r="CP118" s="1">
        <v>0</v>
      </c>
      <c r="CQ118" s="1">
        <v>0</v>
      </c>
      <c r="CR118" s="1">
        <v>0</v>
      </c>
      <c r="CS118" s="1">
        <v>0</v>
      </c>
      <c r="CT118" s="1">
        <v>0</v>
      </c>
      <c r="CU118" s="1">
        <v>0</v>
      </c>
      <c r="CV118" s="1">
        <v>0</v>
      </c>
      <c r="CW118" s="1">
        <v>0</v>
      </c>
      <c r="CX118" s="1">
        <v>0</v>
      </c>
      <c r="CY118" s="1">
        <v>0</v>
      </c>
      <c r="CZ118" s="1">
        <v>0</v>
      </c>
      <c r="DA118" s="1">
        <v>0</v>
      </c>
      <c r="DB118" s="1">
        <v>0</v>
      </c>
      <c r="DC118" s="1">
        <v>0</v>
      </c>
      <c r="DD118" s="1">
        <v>0</v>
      </c>
      <c r="DE118" s="1">
        <v>0</v>
      </c>
      <c r="DF118" s="1">
        <v>0</v>
      </c>
      <c r="DG118" s="1">
        <v>0</v>
      </c>
      <c r="DH118" s="1">
        <v>0</v>
      </c>
      <c r="DI118" s="1">
        <v>62</v>
      </c>
      <c r="DJ118" s="1">
        <v>0</v>
      </c>
      <c r="DK118" s="1">
        <v>0</v>
      </c>
      <c r="DL118" s="1">
        <v>0</v>
      </c>
      <c r="DM118" s="1">
        <v>0</v>
      </c>
      <c r="DN118" s="1">
        <v>0</v>
      </c>
      <c r="DO118" s="1">
        <v>0</v>
      </c>
      <c r="DP118" s="1">
        <v>0</v>
      </c>
      <c r="DQ118" s="1">
        <v>0</v>
      </c>
      <c r="DR118" s="1">
        <v>0</v>
      </c>
      <c r="DS118" s="1">
        <v>0</v>
      </c>
      <c r="DT118" s="1">
        <v>0</v>
      </c>
      <c r="DU118" s="1">
        <v>0</v>
      </c>
      <c r="DV118" s="1">
        <v>0</v>
      </c>
      <c r="DW118" s="1">
        <v>0</v>
      </c>
      <c r="DX118" s="1">
        <v>0</v>
      </c>
      <c r="DY118" s="1">
        <v>0</v>
      </c>
      <c r="DZ118" s="1">
        <v>0</v>
      </c>
      <c r="EA118" s="1">
        <v>0</v>
      </c>
      <c r="EB118" s="1">
        <v>0</v>
      </c>
      <c r="EC118" s="1">
        <v>0</v>
      </c>
      <c r="ED118" s="1">
        <v>0</v>
      </c>
      <c r="EE118" s="1">
        <v>0</v>
      </c>
      <c r="EF118" s="1">
        <v>0</v>
      </c>
      <c r="EG118" s="1">
        <v>0</v>
      </c>
      <c r="EH118" s="1">
        <v>0</v>
      </c>
      <c r="EI118" s="1">
        <v>0</v>
      </c>
      <c r="EJ118" s="1">
        <v>0</v>
      </c>
      <c r="EK118" s="1">
        <v>0</v>
      </c>
      <c r="EL118" s="1">
        <v>0</v>
      </c>
      <c r="EM118" s="1">
        <v>0</v>
      </c>
      <c r="EN118" s="1">
        <v>0</v>
      </c>
      <c r="EO118" s="1">
        <v>0</v>
      </c>
      <c r="EP118" s="1">
        <v>0</v>
      </c>
      <c r="EQ118" s="1">
        <v>0</v>
      </c>
      <c r="ER118" s="1">
        <v>0</v>
      </c>
      <c r="ES118" s="1">
        <v>0</v>
      </c>
      <c r="ET118" s="1">
        <v>0</v>
      </c>
      <c r="EU118" s="1">
        <v>0</v>
      </c>
      <c r="EV118" s="1">
        <v>0</v>
      </c>
      <c r="EW118" s="1">
        <v>0</v>
      </c>
      <c r="EX118" s="1">
        <v>0</v>
      </c>
      <c r="EY118" s="1">
        <v>0</v>
      </c>
      <c r="EZ118" s="1">
        <v>0</v>
      </c>
      <c r="FA118" s="1">
        <v>0</v>
      </c>
      <c r="FB118" s="1">
        <v>0</v>
      </c>
      <c r="FC118" s="1">
        <v>0</v>
      </c>
      <c r="FD118" s="1">
        <v>0</v>
      </c>
      <c r="FE118" s="1">
        <f t="shared" si="46"/>
        <v>62</v>
      </c>
      <c r="FF118" s="1">
        <f>DR157</f>
        <v>58</v>
      </c>
      <c r="FG118" s="1">
        <f t="shared" si="47"/>
        <v>0</v>
      </c>
    </row>
    <row r="119" spans="8:163" ht="15.75" thickBot="1" x14ac:dyDescent="0.3">
      <c r="H119" s="1" t="s">
        <v>52</v>
      </c>
      <c r="I119" s="1">
        <f t="shared" si="45"/>
        <v>0</v>
      </c>
      <c r="J119" s="1">
        <f t="shared" si="49"/>
        <v>0</v>
      </c>
      <c r="K119" s="1">
        <f t="shared" si="50"/>
        <v>0</v>
      </c>
      <c r="L119" s="1">
        <f t="shared" si="51"/>
        <v>0</v>
      </c>
      <c r="M119" s="1">
        <f t="shared" si="52"/>
        <v>0</v>
      </c>
      <c r="N119" s="1">
        <f t="shared" si="53"/>
        <v>0</v>
      </c>
      <c r="O119" s="1">
        <f t="shared" si="54"/>
        <v>0</v>
      </c>
      <c r="P119" s="1">
        <f t="shared" si="55"/>
        <v>0</v>
      </c>
      <c r="Q119" s="1">
        <f t="shared" si="56"/>
        <v>0</v>
      </c>
      <c r="R119" s="1">
        <f t="shared" si="57"/>
        <v>0</v>
      </c>
      <c r="S119" s="1">
        <f t="shared" si="58"/>
        <v>0</v>
      </c>
      <c r="T119" s="1">
        <f t="shared" si="59"/>
        <v>0</v>
      </c>
      <c r="U119" s="1">
        <f t="shared" si="60"/>
        <v>0</v>
      </c>
      <c r="V119" s="1">
        <f t="shared" si="61"/>
        <v>0</v>
      </c>
      <c r="W119" s="1">
        <f t="shared" si="62"/>
        <v>0</v>
      </c>
      <c r="X119" s="1">
        <f t="shared" si="63"/>
        <v>0</v>
      </c>
      <c r="Y119" s="1">
        <f t="shared" si="64"/>
        <v>0</v>
      </c>
      <c r="Z119" s="1">
        <f t="shared" si="65"/>
        <v>0</v>
      </c>
      <c r="AA119" s="1">
        <f t="shared" si="66"/>
        <v>0</v>
      </c>
      <c r="AB119" s="1">
        <f t="shared" si="67"/>
        <v>0</v>
      </c>
      <c r="AC119" s="1">
        <f t="shared" si="68"/>
        <v>0</v>
      </c>
      <c r="AD119" s="1">
        <f t="shared" si="69"/>
        <v>0</v>
      </c>
      <c r="AE119" s="1">
        <f t="shared" si="70"/>
        <v>0</v>
      </c>
      <c r="AF119" s="1">
        <f t="shared" si="71"/>
        <v>0</v>
      </c>
      <c r="AG119" s="1">
        <f t="shared" si="72"/>
        <v>0</v>
      </c>
      <c r="AH119" s="1">
        <f t="shared" si="73"/>
        <v>0</v>
      </c>
      <c r="AI119" s="1">
        <f t="shared" si="74"/>
        <v>0</v>
      </c>
      <c r="AJ119" s="1">
        <f t="shared" si="75"/>
        <v>0</v>
      </c>
      <c r="AK119" s="1">
        <f t="shared" si="76"/>
        <v>0</v>
      </c>
      <c r="AL119" s="1">
        <f t="shared" si="77"/>
        <v>0</v>
      </c>
      <c r="AM119" s="1">
        <f t="shared" si="78"/>
        <v>0</v>
      </c>
      <c r="AN119" s="1">
        <f t="shared" si="79"/>
        <v>0</v>
      </c>
      <c r="AO119" s="1">
        <f t="shared" si="80"/>
        <v>0</v>
      </c>
      <c r="AP119" s="1">
        <f t="shared" si="81"/>
        <v>-37</v>
      </c>
      <c r="AQ119" s="1">
        <f t="shared" si="82"/>
        <v>0</v>
      </c>
      <c r="AR119" s="1">
        <f t="shared" si="83"/>
        <v>0</v>
      </c>
      <c r="AS119" s="1">
        <f t="shared" si="84"/>
        <v>0</v>
      </c>
      <c r="AT119" s="1">
        <f t="shared" si="85"/>
        <v>0</v>
      </c>
      <c r="AU119" s="1">
        <f t="shared" si="86"/>
        <v>0</v>
      </c>
      <c r="AV119" s="1">
        <f t="shared" si="87"/>
        <v>0</v>
      </c>
      <c r="AW119" s="1">
        <f t="shared" si="88"/>
        <v>0</v>
      </c>
      <c r="AX119" s="1">
        <f t="shared" si="89"/>
        <v>0</v>
      </c>
      <c r="AY119" s="1">
        <f t="shared" si="90"/>
        <v>0</v>
      </c>
      <c r="AZ119" s="1">
        <f t="shared" si="91"/>
        <v>0</v>
      </c>
      <c r="BA119" s="1">
        <f t="shared" si="92"/>
        <v>0</v>
      </c>
      <c r="BB119" s="1">
        <f t="shared" si="93"/>
        <v>0</v>
      </c>
      <c r="BC119" s="1">
        <f t="shared" si="94"/>
        <v>0</v>
      </c>
      <c r="BD119" s="1">
        <f t="shared" si="95"/>
        <v>0</v>
      </c>
      <c r="BE119" s="1">
        <f t="shared" si="96"/>
        <v>0</v>
      </c>
      <c r="BF119" s="1">
        <f t="shared" si="97"/>
        <v>0</v>
      </c>
      <c r="BG119" s="1">
        <f t="shared" si="98"/>
        <v>0</v>
      </c>
      <c r="BH119" s="1">
        <f t="shared" si="99"/>
        <v>0</v>
      </c>
      <c r="BI119" s="1">
        <f t="shared" si="100"/>
        <v>0</v>
      </c>
      <c r="BJ119" s="1">
        <f t="shared" si="101"/>
        <v>0</v>
      </c>
      <c r="BK119" s="1">
        <f t="shared" si="102"/>
        <v>0</v>
      </c>
      <c r="BL119" s="1">
        <f t="shared" si="103"/>
        <v>0</v>
      </c>
      <c r="BM119" s="1">
        <f t="shared" si="104"/>
        <v>0</v>
      </c>
      <c r="BN119" s="1">
        <f t="shared" si="105"/>
        <v>0</v>
      </c>
      <c r="BO119" s="1">
        <f t="shared" si="106"/>
        <v>0</v>
      </c>
      <c r="BP119" s="1">
        <f t="shared" si="107"/>
        <v>0</v>
      </c>
      <c r="BQ119" s="1">
        <f t="shared" si="108"/>
        <v>0</v>
      </c>
      <c r="BR119" s="1">
        <f t="shared" si="109"/>
        <v>0</v>
      </c>
      <c r="BS119" s="1">
        <f t="shared" si="110"/>
        <v>0</v>
      </c>
      <c r="BT119" s="1">
        <f t="shared" si="111"/>
        <v>0</v>
      </c>
      <c r="BU119" s="1">
        <f t="shared" si="48"/>
        <v>0</v>
      </c>
      <c r="BV119" s="1">
        <f t="shared" si="112"/>
        <v>0</v>
      </c>
      <c r="BW119" s="1">
        <f t="shared" si="113"/>
        <v>0</v>
      </c>
      <c r="BX119" s="1">
        <f t="shared" si="114"/>
        <v>0</v>
      </c>
      <c r="BY119" s="1">
        <f t="shared" si="115"/>
        <v>0</v>
      </c>
      <c r="BZ119" s="1">
        <f t="shared" si="116"/>
        <v>0</v>
      </c>
      <c r="CA119" s="1">
        <f t="shared" si="117"/>
        <v>0</v>
      </c>
      <c r="CB119" s="1">
        <f t="shared" si="118"/>
        <v>0</v>
      </c>
      <c r="CC119" s="1">
        <f t="shared" si="119"/>
        <v>0</v>
      </c>
      <c r="CD119" s="1">
        <f t="shared" si="120"/>
        <v>0</v>
      </c>
      <c r="CE119" s="1"/>
      <c r="CH119" s="1" t="s">
        <v>52</v>
      </c>
      <c r="CI119" s="1">
        <v>0</v>
      </c>
      <c r="CJ119" s="1">
        <v>0</v>
      </c>
      <c r="CK119" s="1">
        <v>0</v>
      </c>
      <c r="CL119" s="1">
        <v>0</v>
      </c>
      <c r="CM119" s="1">
        <v>0</v>
      </c>
      <c r="CN119" s="1">
        <v>0</v>
      </c>
      <c r="CO119" s="1">
        <v>0</v>
      </c>
      <c r="CP119" s="1">
        <v>0</v>
      </c>
      <c r="CQ119" s="1">
        <v>0</v>
      </c>
      <c r="CR119" s="1">
        <v>0</v>
      </c>
      <c r="CS119" s="1">
        <v>0</v>
      </c>
      <c r="CT119" s="1">
        <v>0</v>
      </c>
      <c r="CU119" s="1">
        <v>0</v>
      </c>
      <c r="CV119" s="1">
        <v>0</v>
      </c>
      <c r="CW119" s="1">
        <v>0</v>
      </c>
      <c r="CX119" s="1">
        <v>0</v>
      </c>
      <c r="CY119" s="1">
        <v>0</v>
      </c>
      <c r="CZ119" s="1">
        <v>0</v>
      </c>
      <c r="DA119" s="1">
        <v>0</v>
      </c>
      <c r="DB119" s="1">
        <v>0</v>
      </c>
      <c r="DC119" s="1">
        <v>0</v>
      </c>
      <c r="DD119" s="1">
        <v>0</v>
      </c>
      <c r="DE119" s="1">
        <v>0</v>
      </c>
      <c r="DF119" s="1">
        <v>0</v>
      </c>
      <c r="DG119" s="1">
        <v>0</v>
      </c>
      <c r="DH119" s="1">
        <v>0</v>
      </c>
      <c r="DI119" s="1">
        <v>0</v>
      </c>
      <c r="DJ119" s="1">
        <v>0</v>
      </c>
      <c r="DK119" s="1">
        <v>0</v>
      </c>
      <c r="DL119" s="1">
        <v>0</v>
      </c>
      <c r="DM119" s="1">
        <v>0</v>
      </c>
      <c r="DN119" s="1">
        <v>0</v>
      </c>
      <c r="DO119" s="1">
        <v>0</v>
      </c>
      <c r="DP119" s="1">
        <v>33</v>
      </c>
      <c r="DQ119" s="1">
        <v>0</v>
      </c>
      <c r="DR119" s="1">
        <v>0</v>
      </c>
      <c r="DS119" s="1">
        <v>0</v>
      </c>
      <c r="DT119" s="1">
        <v>0</v>
      </c>
      <c r="DU119" s="1">
        <v>0</v>
      </c>
      <c r="DV119" s="1">
        <v>0</v>
      </c>
      <c r="DW119" s="1">
        <v>0</v>
      </c>
      <c r="DX119" s="1">
        <v>0</v>
      </c>
      <c r="DY119" s="1">
        <v>0</v>
      </c>
      <c r="DZ119" s="1">
        <v>0</v>
      </c>
      <c r="EA119" s="1">
        <v>0</v>
      </c>
      <c r="EB119" s="1">
        <v>0</v>
      </c>
      <c r="EC119" s="1">
        <v>0</v>
      </c>
      <c r="ED119" s="1">
        <v>0</v>
      </c>
      <c r="EE119" s="1">
        <v>0</v>
      </c>
      <c r="EF119" s="1">
        <v>0</v>
      </c>
      <c r="EG119" s="1">
        <v>0</v>
      </c>
      <c r="EH119" s="1">
        <v>0</v>
      </c>
      <c r="EI119" s="1">
        <v>0</v>
      </c>
      <c r="EJ119" s="1">
        <v>0</v>
      </c>
      <c r="EK119" s="1">
        <v>0</v>
      </c>
      <c r="EL119" s="1">
        <v>0</v>
      </c>
      <c r="EM119" s="1">
        <v>0</v>
      </c>
      <c r="EN119" s="1">
        <v>0</v>
      </c>
      <c r="EO119" s="1">
        <v>0</v>
      </c>
      <c r="EP119" s="1">
        <v>0</v>
      </c>
      <c r="EQ119" s="1">
        <v>0</v>
      </c>
      <c r="ER119" s="1">
        <v>0</v>
      </c>
      <c r="ES119" s="1">
        <v>0</v>
      </c>
      <c r="ET119" s="1">
        <v>0</v>
      </c>
      <c r="EU119" s="1">
        <v>0</v>
      </c>
      <c r="EV119" s="1">
        <v>0</v>
      </c>
      <c r="EW119" s="1">
        <v>0</v>
      </c>
      <c r="EX119" s="1">
        <v>0</v>
      </c>
      <c r="EY119" s="1">
        <v>0</v>
      </c>
      <c r="EZ119" s="1">
        <v>0</v>
      </c>
      <c r="FA119" s="1">
        <v>0</v>
      </c>
      <c r="FB119" s="1">
        <v>0</v>
      </c>
      <c r="FC119" s="1">
        <v>0</v>
      </c>
      <c r="FD119" s="1">
        <v>0</v>
      </c>
      <c r="FE119" s="1">
        <f t="shared" si="46"/>
        <v>33</v>
      </c>
      <c r="FF119" s="1">
        <f>DS157</f>
        <v>23</v>
      </c>
      <c r="FG119" s="1">
        <f t="shared" si="47"/>
        <v>0</v>
      </c>
    </row>
    <row r="120" spans="8:163" ht="15.75" thickBot="1" x14ac:dyDescent="0.3">
      <c r="H120" s="1" t="s">
        <v>53</v>
      </c>
      <c r="I120" s="1">
        <f t="shared" si="45"/>
        <v>0</v>
      </c>
      <c r="J120" s="1">
        <f t="shared" si="49"/>
        <v>0</v>
      </c>
      <c r="K120" s="1">
        <f t="shared" si="50"/>
        <v>0</v>
      </c>
      <c r="L120" s="1">
        <f t="shared" si="51"/>
        <v>0</v>
      </c>
      <c r="M120" s="1">
        <f t="shared" si="52"/>
        <v>0</v>
      </c>
      <c r="N120" s="1">
        <f t="shared" si="53"/>
        <v>0</v>
      </c>
      <c r="O120" s="1">
        <f t="shared" si="54"/>
        <v>0</v>
      </c>
      <c r="P120" s="1">
        <f t="shared" si="55"/>
        <v>0</v>
      </c>
      <c r="Q120" s="1">
        <f t="shared" si="56"/>
        <v>0</v>
      </c>
      <c r="R120" s="1">
        <f t="shared" si="57"/>
        <v>0</v>
      </c>
      <c r="S120" s="1">
        <f t="shared" si="58"/>
        <v>0</v>
      </c>
      <c r="T120" s="1">
        <f t="shared" si="59"/>
        <v>0</v>
      </c>
      <c r="U120" s="1">
        <f t="shared" si="60"/>
        <v>0</v>
      </c>
      <c r="V120" s="1">
        <f t="shared" si="61"/>
        <v>0</v>
      </c>
      <c r="W120" s="1">
        <f t="shared" si="62"/>
        <v>0</v>
      </c>
      <c r="X120" s="1">
        <f t="shared" si="63"/>
        <v>0</v>
      </c>
      <c r="Y120" s="1">
        <f t="shared" si="64"/>
        <v>0</v>
      </c>
      <c r="Z120" s="1">
        <f t="shared" si="65"/>
        <v>0</v>
      </c>
      <c r="AA120" s="1">
        <f t="shared" si="66"/>
        <v>0</v>
      </c>
      <c r="AB120" s="1">
        <f t="shared" si="67"/>
        <v>0</v>
      </c>
      <c r="AC120" s="1">
        <f t="shared" si="68"/>
        <v>0</v>
      </c>
      <c r="AD120" s="1">
        <f t="shared" si="69"/>
        <v>0</v>
      </c>
      <c r="AE120" s="1">
        <f t="shared" si="70"/>
        <v>0</v>
      </c>
      <c r="AF120" s="1">
        <f t="shared" si="71"/>
        <v>0</v>
      </c>
      <c r="AG120" s="1">
        <f t="shared" si="72"/>
        <v>0</v>
      </c>
      <c r="AH120" s="1">
        <f t="shared" si="73"/>
        <v>0</v>
      </c>
      <c r="AI120" s="1">
        <f t="shared" si="74"/>
        <v>0</v>
      </c>
      <c r="AJ120" s="1">
        <f t="shared" si="75"/>
        <v>0</v>
      </c>
      <c r="AK120" s="1">
        <f t="shared" si="76"/>
        <v>0</v>
      </c>
      <c r="AL120" s="1">
        <f t="shared" si="77"/>
        <v>0</v>
      </c>
      <c r="AM120" s="1">
        <f t="shared" si="78"/>
        <v>0</v>
      </c>
      <c r="AN120" s="1">
        <f t="shared" si="79"/>
        <v>0</v>
      </c>
      <c r="AO120" s="1">
        <f t="shared" si="80"/>
        <v>0</v>
      </c>
      <c r="AP120" s="1">
        <f t="shared" si="81"/>
        <v>0</v>
      </c>
      <c r="AQ120" s="1">
        <f t="shared" si="82"/>
        <v>0</v>
      </c>
      <c r="AR120" s="1">
        <f t="shared" si="83"/>
        <v>-12</v>
      </c>
      <c r="AS120" s="1">
        <f t="shared" si="84"/>
        <v>0</v>
      </c>
      <c r="AT120" s="1">
        <f t="shared" si="85"/>
        <v>0</v>
      </c>
      <c r="AU120" s="1">
        <f t="shared" si="86"/>
        <v>0</v>
      </c>
      <c r="AV120" s="1">
        <f t="shared" si="87"/>
        <v>0</v>
      </c>
      <c r="AW120" s="1">
        <f t="shared" si="88"/>
        <v>0</v>
      </c>
      <c r="AX120" s="1">
        <f t="shared" si="89"/>
        <v>0</v>
      </c>
      <c r="AY120" s="1">
        <f t="shared" si="90"/>
        <v>0</v>
      </c>
      <c r="AZ120" s="1">
        <f t="shared" si="91"/>
        <v>0</v>
      </c>
      <c r="BA120" s="1">
        <f t="shared" si="92"/>
        <v>0</v>
      </c>
      <c r="BB120" s="1">
        <f t="shared" si="93"/>
        <v>0</v>
      </c>
      <c r="BC120" s="1">
        <f t="shared" si="94"/>
        <v>0</v>
      </c>
      <c r="BD120" s="1">
        <f t="shared" si="95"/>
        <v>0</v>
      </c>
      <c r="BE120" s="1">
        <f t="shared" si="96"/>
        <v>0</v>
      </c>
      <c r="BF120" s="1">
        <f t="shared" si="97"/>
        <v>0</v>
      </c>
      <c r="BG120" s="1">
        <f t="shared" si="98"/>
        <v>0</v>
      </c>
      <c r="BH120" s="1">
        <f t="shared" si="99"/>
        <v>0</v>
      </c>
      <c r="BI120" s="1">
        <f t="shared" si="100"/>
        <v>0</v>
      </c>
      <c r="BJ120" s="1">
        <f t="shared" si="101"/>
        <v>0</v>
      </c>
      <c r="BK120" s="1">
        <f t="shared" si="102"/>
        <v>0</v>
      </c>
      <c r="BL120" s="1">
        <f t="shared" si="103"/>
        <v>0</v>
      </c>
      <c r="BM120" s="1">
        <f t="shared" si="104"/>
        <v>0</v>
      </c>
      <c r="BN120" s="1">
        <f t="shared" si="105"/>
        <v>0</v>
      </c>
      <c r="BO120" s="1">
        <f t="shared" si="106"/>
        <v>0</v>
      </c>
      <c r="BP120" s="1">
        <f t="shared" si="107"/>
        <v>0</v>
      </c>
      <c r="BQ120" s="1">
        <f t="shared" si="108"/>
        <v>0</v>
      </c>
      <c r="BR120" s="1">
        <f t="shared" si="109"/>
        <v>0</v>
      </c>
      <c r="BS120" s="1">
        <f t="shared" si="110"/>
        <v>0</v>
      </c>
      <c r="BT120" s="1">
        <f t="shared" si="111"/>
        <v>0</v>
      </c>
      <c r="BU120" s="1">
        <f t="shared" si="48"/>
        <v>0</v>
      </c>
      <c r="BV120" s="1">
        <f t="shared" si="112"/>
        <v>0</v>
      </c>
      <c r="BW120" s="1">
        <f t="shared" si="113"/>
        <v>0</v>
      </c>
      <c r="BX120" s="1">
        <f t="shared" si="114"/>
        <v>0</v>
      </c>
      <c r="BY120" s="1">
        <f t="shared" si="115"/>
        <v>0</v>
      </c>
      <c r="BZ120" s="1">
        <f t="shared" si="116"/>
        <v>0</v>
      </c>
      <c r="CA120" s="1">
        <f t="shared" si="117"/>
        <v>0</v>
      </c>
      <c r="CB120" s="1">
        <f t="shared" si="118"/>
        <v>0</v>
      </c>
      <c r="CC120" s="1">
        <f t="shared" si="119"/>
        <v>0</v>
      </c>
      <c r="CD120" s="1">
        <f t="shared" si="120"/>
        <v>0</v>
      </c>
      <c r="CE120" s="1"/>
      <c r="CH120" s="1" t="s">
        <v>53</v>
      </c>
      <c r="CI120" s="1">
        <v>0</v>
      </c>
      <c r="CJ120" s="1">
        <v>0</v>
      </c>
      <c r="CK120" s="1">
        <v>0</v>
      </c>
      <c r="CL120" s="1">
        <v>0</v>
      </c>
      <c r="CM120" s="1">
        <v>0</v>
      </c>
      <c r="CN120" s="1">
        <v>0</v>
      </c>
      <c r="CO120" s="1">
        <v>0</v>
      </c>
      <c r="CP120" s="1">
        <v>0</v>
      </c>
      <c r="CQ120" s="1">
        <v>0</v>
      </c>
      <c r="CR120" s="1">
        <v>0</v>
      </c>
      <c r="CS120" s="1">
        <v>0</v>
      </c>
      <c r="CT120" s="1">
        <v>0</v>
      </c>
      <c r="CU120" s="1">
        <v>0</v>
      </c>
      <c r="CV120" s="1">
        <v>0</v>
      </c>
      <c r="CW120" s="1">
        <v>0</v>
      </c>
      <c r="CX120" s="1">
        <v>0</v>
      </c>
      <c r="CY120" s="1">
        <v>0</v>
      </c>
      <c r="CZ120" s="1">
        <v>0</v>
      </c>
      <c r="DA120" s="1">
        <v>0</v>
      </c>
      <c r="DB120" s="1">
        <v>0</v>
      </c>
      <c r="DC120" s="1">
        <v>0</v>
      </c>
      <c r="DD120" s="1">
        <v>0</v>
      </c>
      <c r="DE120" s="1">
        <v>0</v>
      </c>
      <c r="DF120" s="1">
        <v>0</v>
      </c>
      <c r="DG120" s="1">
        <v>0</v>
      </c>
      <c r="DH120" s="1">
        <v>0</v>
      </c>
      <c r="DI120" s="1">
        <v>0</v>
      </c>
      <c r="DJ120" s="1">
        <v>0</v>
      </c>
      <c r="DK120" s="1">
        <v>0</v>
      </c>
      <c r="DL120" s="1">
        <v>0</v>
      </c>
      <c r="DM120" s="1">
        <v>0</v>
      </c>
      <c r="DN120" s="1">
        <v>0</v>
      </c>
      <c r="DO120" s="1">
        <v>0</v>
      </c>
      <c r="DP120" s="1">
        <v>0</v>
      </c>
      <c r="DQ120" s="1">
        <v>0</v>
      </c>
      <c r="DR120" s="1">
        <v>58</v>
      </c>
      <c r="DS120" s="1">
        <v>0</v>
      </c>
      <c r="DT120" s="1">
        <v>0</v>
      </c>
      <c r="DU120" s="1">
        <v>0</v>
      </c>
      <c r="DV120" s="1">
        <v>0</v>
      </c>
      <c r="DW120" s="1">
        <v>0</v>
      </c>
      <c r="DX120" s="1">
        <v>0</v>
      </c>
      <c r="DY120" s="1">
        <v>0</v>
      </c>
      <c r="DZ120" s="1">
        <v>0</v>
      </c>
      <c r="EA120" s="1">
        <v>0</v>
      </c>
      <c r="EB120" s="1">
        <v>0</v>
      </c>
      <c r="EC120" s="1">
        <v>0</v>
      </c>
      <c r="ED120" s="1">
        <v>0</v>
      </c>
      <c r="EE120" s="1">
        <v>0</v>
      </c>
      <c r="EF120" s="1">
        <v>0</v>
      </c>
      <c r="EG120" s="1">
        <v>0</v>
      </c>
      <c r="EH120" s="1">
        <v>0</v>
      </c>
      <c r="EI120" s="1">
        <v>0</v>
      </c>
      <c r="EJ120" s="1">
        <v>0</v>
      </c>
      <c r="EK120" s="1">
        <v>0</v>
      </c>
      <c r="EL120" s="1">
        <v>0</v>
      </c>
      <c r="EM120" s="1">
        <v>0</v>
      </c>
      <c r="EN120" s="1">
        <v>0</v>
      </c>
      <c r="EO120" s="1">
        <v>0</v>
      </c>
      <c r="EP120" s="1">
        <v>0</v>
      </c>
      <c r="EQ120" s="1">
        <v>0</v>
      </c>
      <c r="ER120" s="1">
        <v>0</v>
      </c>
      <c r="ES120" s="1">
        <v>0</v>
      </c>
      <c r="ET120" s="1">
        <v>0</v>
      </c>
      <c r="EU120" s="1">
        <v>0</v>
      </c>
      <c r="EV120" s="1">
        <v>0</v>
      </c>
      <c r="EW120" s="1">
        <v>0</v>
      </c>
      <c r="EX120" s="1">
        <v>0</v>
      </c>
      <c r="EY120" s="1">
        <v>0</v>
      </c>
      <c r="EZ120" s="1">
        <v>0</v>
      </c>
      <c r="FA120" s="1">
        <v>0</v>
      </c>
      <c r="FB120" s="1">
        <v>0</v>
      </c>
      <c r="FC120" s="1">
        <v>0</v>
      </c>
      <c r="FD120" s="1">
        <v>0</v>
      </c>
      <c r="FE120" s="1">
        <f t="shared" si="46"/>
        <v>58</v>
      </c>
      <c r="FF120" s="1">
        <f>DT157</f>
        <v>49</v>
      </c>
      <c r="FG120" s="1">
        <f t="shared" si="47"/>
        <v>0</v>
      </c>
    </row>
    <row r="121" spans="8:163" ht="15.75" thickBot="1" x14ac:dyDescent="0.3">
      <c r="H121" s="1" t="s">
        <v>54</v>
      </c>
      <c r="I121" s="1">
        <f t="shared" si="45"/>
        <v>0</v>
      </c>
      <c r="J121" s="1">
        <f t="shared" si="49"/>
        <v>0</v>
      </c>
      <c r="K121" s="1">
        <f t="shared" si="50"/>
        <v>0</v>
      </c>
      <c r="L121" s="1">
        <f t="shared" si="51"/>
        <v>0</v>
      </c>
      <c r="M121" s="1">
        <f t="shared" si="52"/>
        <v>0</v>
      </c>
      <c r="N121" s="1">
        <f t="shared" si="53"/>
        <v>0</v>
      </c>
      <c r="O121" s="1">
        <f t="shared" si="54"/>
        <v>-52</v>
      </c>
      <c r="P121" s="1">
        <f t="shared" si="55"/>
        <v>0</v>
      </c>
      <c r="Q121" s="1">
        <f t="shared" si="56"/>
        <v>0</v>
      </c>
      <c r="R121" s="1">
        <f t="shared" si="57"/>
        <v>0</v>
      </c>
      <c r="S121" s="1">
        <f t="shared" si="58"/>
        <v>0</v>
      </c>
      <c r="T121" s="1">
        <f t="shared" si="59"/>
        <v>0</v>
      </c>
      <c r="U121" s="1">
        <f t="shared" si="60"/>
        <v>0</v>
      </c>
      <c r="V121" s="1">
        <f t="shared" si="61"/>
        <v>0</v>
      </c>
      <c r="W121" s="1">
        <f t="shared" si="62"/>
        <v>0</v>
      </c>
      <c r="X121" s="1">
        <f t="shared" si="63"/>
        <v>0</v>
      </c>
      <c r="Y121" s="1">
        <f t="shared" si="64"/>
        <v>0</v>
      </c>
      <c r="Z121" s="1">
        <f t="shared" si="65"/>
        <v>0</v>
      </c>
      <c r="AA121" s="1">
        <f t="shared" si="66"/>
        <v>0</v>
      </c>
      <c r="AB121" s="1">
        <f t="shared" si="67"/>
        <v>0</v>
      </c>
      <c r="AC121" s="1">
        <f t="shared" si="68"/>
        <v>0</v>
      </c>
      <c r="AD121" s="1">
        <f t="shared" si="69"/>
        <v>0</v>
      </c>
      <c r="AE121" s="1">
        <f t="shared" si="70"/>
        <v>0</v>
      </c>
      <c r="AF121" s="1">
        <f t="shared" si="71"/>
        <v>0</v>
      </c>
      <c r="AG121" s="1">
        <f t="shared" si="72"/>
        <v>0</v>
      </c>
      <c r="AH121" s="1">
        <f t="shared" si="73"/>
        <v>0</v>
      </c>
      <c r="AI121" s="1">
        <f t="shared" si="74"/>
        <v>0</v>
      </c>
      <c r="AJ121" s="1">
        <f t="shared" si="75"/>
        <v>0</v>
      </c>
      <c r="AK121" s="1">
        <f t="shared" si="76"/>
        <v>0</v>
      </c>
      <c r="AL121" s="1">
        <f t="shared" si="77"/>
        <v>0</v>
      </c>
      <c r="AM121" s="1">
        <f t="shared" si="78"/>
        <v>0</v>
      </c>
      <c r="AN121" s="1">
        <f t="shared" si="79"/>
        <v>0</v>
      </c>
      <c r="AO121" s="1">
        <f t="shared" si="80"/>
        <v>0</v>
      </c>
      <c r="AP121" s="1">
        <f t="shared" si="81"/>
        <v>0</v>
      </c>
      <c r="AQ121" s="1">
        <f t="shared" si="82"/>
        <v>0</v>
      </c>
      <c r="AR121" s="1">
        <f t="shared" si="83"/>
        <v>0</v>
      </c>
      <c r="AS121" s="1">
        <f t="shared" si="84"/>
        <v>0</v>
      </c>
      <c r="AT121" s="1">
        <f t="shared" si="85"/>
        <v>0</v>
      </c>
      <c r="AU121" s="1">
        <f t="shared" si="86"/>
        <v>0</v>
      </c>
      <c r="AV121" s="1">
        <f t="shared" si="87"/>
        <v>0</v>
      </c>
      <c r="AW121" s="1">
        <f t="shared" si="88"/>
        <v>0</v>
      </c>
      <c r="AX121" s="1">
        <f t="shared" si="89"/>
        <v>0</v>
      </c>
      <c r="AY121" s="1">
        <f t="shared" si="90"/>
        <v>0</v>
      </c>
      <c r="AZ121" s="1">
        <f t="shared" si="91"/>
        <v>0</v>
      </c>
      <c r="BA121" s="1">
        <f t="shared" si="92"/>
        <v>0</v>
      </c>
      <c r="BB121" s="1">
        <f t="shared" si="93"/>
        <v>0</v>
      </c>
      <c r="BC121" s="1">
        <f t="shared" si="94"/>
        <v>0</v>
      </c>
      <c r="BD121" s="1">
        <f t="shared" si="95"/>
        <v>0</v>
      </c>
      <c r="BE121" s="1">
        <f t="shared" si="96"/>
        <v>0</v>
      </c>
      <c r="BF121" s="1">
        <f t="shared" si="97"/>
        <v>0</v>
      </c>
      <c r="BG121" s="1">
        <f t="shared" si="98"/>
        <v>0</v>
      </c>
      <c r="BH121" s="1">
        <f t="shared" si="99"/>
        <v>0</v>
      </c>
      <c r="BI121" s="1">
        <f t="shared" si="100"/>
        <v>0</v>
      </c>
      <c r="BJ121" s="1">
        <f t="shared" si="101"/>
        <v>0</v>
      </c>
      <c r="BK121" s="1">
        <f t="shared" si="102"/>
        <v>0</v>
      </c>
      <c r="BL121" s="1">
        <f t="shared" si="103"/>
        <v>0</v>
      </c>
      <c r="BM121" s="1">
        <f t="shared" si="104"/>
        <v>0</v>
      </c>
      <c r="BN121" s="1">
        <f t="shared" si="105"/>
        <v>0</v>
      </c>
      <c r="BO121" s="1">
        <f t="shared" si="106"/>
        <v>0</v>
      </c>
      <c r="BP121" s="1">
        <f t="shared" si="107"/>
        <v>0</v>
      </c>
      <c r="BQ121" s="1">
        <f t="shared" si="108"/>
        <v>0</v>
      </c>
      <c r="BR121" s="1">
        <f t="shared" si="109"/>
        <v>0</v>
      </c>
      <c r="BS121" s="1">
        <f t="shared" si="110"/>
        <v>0</v>
      </c>
      <c r="BT121" s="1">
        <f t="shared" si="111"/>
        <v>0</v>
      </c>
      <c r="BU121" s="1">
        <f t="shared" si="48"/>
        <v>0</v>
      </c>
      <c r="BV121" s="1">
        <f t="shared" si="112"/>
        <v>0</v>
      </c>
      <c r="BW121" s="1">
        <f t="shared" si="113"/>
        <v>0</v>
      </c>
      <c r="BX121" s="1">
        <f t="shared" si="114"/>
        <v>0</v>
      </c>
      <c r="BY121" s="1">
        <f t="shared" si="115"/>
        <v>0</v>
      </c>
      <c r="BZ121" s="1">
        <f t="shared" si="116"/>
        <v>0</v>
      </c>
      <c r="CA121" s="1">
        <f t="shared" si="117"/>
        <v>0</v>
      </c>
      <c r="CB121" s="1">
        <f t="shared" si="118"/>
        <v>0</v>
      </c>
      <c r="CC121" s="1">
        <f t="shared" si="119"/>
        <v>0</v>
      </c>
      <c r="CD121" s="1">
        <f t="shared" si="120"/>
        <v>0</v>
      </c>
      <c r="CE121" s="1"/>
      <c r="CH121" s="1" t="s">
        <v>54</v>
      </c>
      <c r="CI121" s="1">
        <v>0</v>
      </c>
      <c r="CJ121" s="1">
        <v>0</v>
      </c>
      <c r="CK121" s="1">
        <v>0</v>
      </c>
      <c r="CL121" s="1">
        <v>0</v>
      </c>
      <c r="CM121" s="1">
        <v>0</v>
      </c>
      <c r="CN121" s="1">
        <v>0</v>
      </c>
      <c r="CO121" s="1">
        <v>18</v>
      </c>
      <c r="CP121" s="1">
        <v>0</v>
      </c>
      <c r="CQ121" s="1">
        <v>0</v>
      </c>
      <c r="CR121" s="1">
        <v>0</v>
      </c>
      <c r="CS121" s="1">
        <v>0</v>
      </c>
      <c r="CT121" s="1">
        <v>0</v>
      </c>
      <c r="CU121" s="1">
        <v>0</v>
      </c>
      <c r="CV121" s="1">
        <v>0</v>
      </c>
      <c r="CW121" s="1">
        <v>0</v>
      </c>
      <c r="CX121" s="1">
        <v>0</v>
      </c>
      <c r="CY121" s="1">
        <v>0</v>
      </c>
      <c r="CZ121" s="1">
        <v>0</v>
      </c>
      <c r="DA121" s="1">
        <v>0</v>
      </c>
      <c r="DB121" s="1">
        <v>0</v>
      </c>
      <c r="DC121" s="1">
        <v>0</v>
      </c>
      <c r="DD121" s="1">
        <v>0</v>
      </c>
      <c r="DE121" s="1">
        <v>0</v>
      </c>
      <c r="DF121" s="1">
        <v>0</v>
      </c>
      <c r="DG121" s="1">
        <v>0</v>
      </c>
      <c r="DH121" s="1">
        <v>0</v>
      </c>
      <c r="DI121" s="1">
        <v>0</v>
      </c>
      <c r="DJ121" s="1">
        <v>0</v>
      </c>
      <c r="DK121" s="1">
        <v>0</v>
      </c>
      <c r="DL121" s="1">
        <v>0</v>
      </c>
      <c r="DM121" s="1">
        <v>0</v>
      </c>
      <c r="DN121" s="1">
        <v>0</v>
      </c>
      <c r="DO121" s="1">
        <v>0</v>
      </c>
      <c r="DP121" s="1">
        <v>0</v>
      </c>
      <c r="DQ121" s="1">
        <v>0</v>
      </c>
      <c r="DR121" s="1">
        <v>0</v>
      </c>
      <c r="DS121" s="1">
        <v>0</v>
      </c>
      <c r="DT121" s="1">
        <v>0</v>
      </c>
      <c r="DU121" s="1">
        <v>0</v>
      </c>
      <c r="DV121" s="1">
        <v>0</v>
      </c>
      <c r="DW121" s="1">
        <v>0</v>
      </c>
      <c r="DX121" s="1">
        <v>0</v>
      </c>
      <c r="DY121" s="1">
        <v>0</v>
      </c>
      <c r="DZ121" s="1">
        <v>0</v>
      </c>
      <c r="EA121" s="1">
        <v>0</v>
      </c>
      <c r="EB121" s="1">
        <v>0</v>
      </c>
      <c r="EC121" s="1">
        <v>0</v>
      </c>
      <c r="ED121" s="1">
        <v>0</v>
      </c>
      <c r="EE121" s="1">
        <v>0</v>
      </c>
      <c r="EF121" s="1">
        <v>0</v>
      </c>
      <c r="EG121" s="1">
        <v>0</v>
      </c>
      <c r="EH121" s="1">
        <v>0</v>
      </c>
      <c r="EI121" s="1">
        <v>0</v>
      </c>
      <c r="EJ121" s="1">
        <v>0</v>
      </c>
      <c r="EK121" s="1">
        <v>0</v>
      </c>
      <c r="EL121" s="1">
        <v>0</v>
      </c>
      <c r="EM121" s="1">
        <v>0</v>
      </c>
      <c r="EN121" s="1">
        <v>0</v>
      </c>
      <c r="EO121" s="1">
        <v>0</v>
      </c>
      <c r="EP121" s="1">
        <v>0</v>
      </c>
      <c r="EQ121" s="1">
        <v>0</v>
      </c>
      <c r="ER121" s="1">
        <v>0</v>
      </c>
      <c r="ES121" s="1">
        <v>0</v>
      </c>
      <c r="ET121" s="1">
        <v>0</v>
      </c>
      <c r="EU121" s="1">
        <v>0</v>
      </c>
      <c r="EV121" s="1">
        <v>0</v>
      </c>
      <c r="EW121" s="1">
        <v>0</v>
      </c>
      <c r="EX121" s="1">
        <v>0</v>
      </c>
      <c r="EY121" s="1">
        <v>0</v>
      </c>
      <c r="EZ121" s="1">
        <v>0</v>
      </c>
      <c r="FA121" s="1">
        <v>0</v>
      </c>
      <c r="FB121" s="1">
        <v>0</v>
      </c>
      <c r="FC121" s="1">
        <v>0</v>
      </c>
      <c r="FD121" s="1">
        <v>0</v>
      </c>
      <c r="FE121" s="1">
        <f t="shared" si="46"/>
        <v>18</v>
      </c>
      <c r="FF121" s="1">
        <f>DU157</f>
        <v>5</v>
      </c>
      <c r="FG121" s="1">
        <f t="shared" si="47"/>
        <v>0</v>
      </c>
    </row>
    <row r="122" spans="8:163" ht="15.75" thickBot="1" x14ac:dyDescent="0.3">
      <c r="H122" s="1" t="s">
        <v>55</v>
      </c>
      <c r="I122" s="1">
        <f t="shared" si="45"/>
        <v>0</v>
      </c>
      <c r="J122" s="1">
        <f t="shared" si="49"/>
        <v>0</v>
      </c>
      <c r="K122" s="1">
        <f t="shared" si="50"/>
        <v>0</v>
      </c>
      <c r="L122" s="1">
        <f t="shared" si="51"/>
        <v>0</v>
      </c>
      <c r="M122" s="1">
        <f t="shared" si="52"/>
        <v>0</v>
      </c>
      <c r="N122" s="1">
        <f t="shared" si="53"/>
        <v>0</v>
      </c>
      <c r="O122" s="1">
        <f t="shared" si="54"/>
        <v>0</v>
      </c>
      <c r="P122" s="1">
        <f t="shared" si="55"/>
        <v>0</v>
      </c>
      <c r="Q122" s="1">
        <f t="shared" si="56"/>
        <v>0</v>
      </c>
      <c r="R122" s="1">
        <f t="shared" si="57"/>
        <v>0</v>
      </c>
      <c r="S122" s="1">
        <f t="shared" si="58"/>
        <v>0</v>
      </c>
      <c r="T122" s="1">
        <f t="shared" si="59"/>
        <v>0</v>
      </c>
      <c r="U122" s="1">
        <f t="shared" si="60"/>
        <v>0</v>
      </c>
      <c r="V122" s="1">
        <f t="shared" si="61"/>
        <v>0</v>
      </c>
      <c r="W122" s="1">
        <f t="shared" si="62"/>
        <v>0</v>
      </c>
      <c r="X122" s="1">
        <f t="shared" si="63"/>
        <v>0</v>
      </c>
      <c r="Y122" s="1">
        <f t="shared" si="64"/>
        <v>0</v>
      </c>
      <c r="Z122" s="1">
        <f t="shared" si="65"/>
        <v>0</v>
      </c>
      <c r="AA122" s="1">
        <f t="shared" si="66"/>
        <v>0</v>
      </c>
      <c r="AB122" s="1">
        <f t="shared" si="67"/>
        <v>0</v>
      </c>
      <c r="AC122" s="1">
        <f t="shared" si="68"/>
        <v>0</v>
      </c>
      <c r="AD122" s="1">
        <f t="shared" si="69"/>
        <v>0</v>
      </c>
      <c r="AE122" s="1">
        <f t="shared" si="70"/>
        <v>0</v>
      </c>
      <c r="AF122" s="1">
        <f t="shared" si="71"/>
        <v>0</v>
      </c>
      <c r="AG122" s="1">
        <f t="shared" si="72"/>
        <v>0</v>
      </c>
      <c r="AH122" s="1">
        <f t="shared" si="73"/>
        <v>0</v>
      </c>
      <c r="AI122" s="1">
        <f t="shared" si="74"/>
        <v>0</v>
      </c>
      <c r="AJ122" s="1">
        <f t="shared" si="75"/>
        <v>-18</v>
      </c>
      <c r="AK122" s="1">
        <f t="shared" si="76"/>
        <v>0</v>
      </c>
      <c r="AL122" s="1">
        <f t="shared" si="77"/>
        <v>0</v>
      </c>
      <c r="AM122" s="1">
        <f t="shared" si="78"/>
        <v>0</v>
      </c>
      <c r="AN122" s="1">
        <f t="shared" si="79"/>
        <v>0</v>
      </c>
      <c r="AO122" s="1">
        <f t="shared" si="80"/>
        <v>0</v>
      </c>
      <c r="AP122" s="1">
        <f t="shared" si="81"/>
        <v>0</v>
      </c>
      <c r="AQ122" s="1">
        <f t="shared" si="82"/>
        <v>0</v>
      </c>
      <c r="AR122" s="1">
        <f t="shared" si="83"/>
        <v>0</v>
      </c>
      <c r="AS122" s="1">
        <f t="shared" si="84"/>
        <v>0</v>
      </c>
      <c r="AT122" s="1">
        <f t="shared" si="85"/>
        <v>0</v>
      </c>
      <c r="AU122" s="1">
        <f t="shared" si="86"/>
        <v>0</v>
      </c>
      <c r="AV122" s="1">
        <f t="shared" si="87"/>
        <v>0</v>
      </c>
      <c r="AW122" s="1">
        <f t="shared" si="88"/>
        <v>0</v>
      </c>
      <c r="AX122" s="1">
        <f t="shared" si="89"/>
        <v>0</v>
      </c>
      <c r="AY122" s="1">
        <f t="shared" si="90"/>
        <v>0</v>
      </c>
      <c r="AZ122" s="1">
        <f t="shared" si="91"/>
        <v>0</v>
      </c>
      <c r="BA122" s="1">
        <f t="shared" si="92"/>
        <v>0</v>
      </c>
      <c r="BB122" s="1">
        <f t="shared" si="93"/>
        <v>0</v>
      </c>
      <c r="BC122" s="1">
        <f t="shared" si="94"/>
        <v>0</v>
      </c>
      <c r="BD122" s="1">
        <f t="shared" si="95"/>
        <v>0</v>
      </c>
      <c r="BE122" s="1">
        <f t="shared" si="96"/>
        <v>0</v>
      </c>
      <c r="BF122" s="1">
        <f t="shared" si="97"/>
        <v>0</v>
      </c>
      <c r="BG122" s="1">
        <f t="shared" si="98"/>
        <v>0</v>
      </c>
      <c r="BH122" s="1">
        <f t="shared" si="99"/>
        <v>0</v>
      </c>
      <c r="BI122" s="1">
        <f t="shared" si="100"/>
        <v>0</v>
      </c>
      <c r="BJ122" s="1">
        <f t="shared" si="101"/>
        <v>0</v>
      </c>
      <c r="BK122" s="1">
        <f t="shared" si="102"/>
        <v>0</v>
      </c>
      <c r="BL122" s="1">
        <f t="shared" si="103"/>
        <v>0</v>
      </c>
      <c r="BM122" s="1">
        <f t="shared" si="104"/>
        <v>0</v>
      </c>
      <c r="BN122" s="1">
        <f t="shared" si="105"/>
        <v>0</v>
      </c>
      <c r="BO122" s="1">
        <f t="shared" si="106"/>
        <v>0</v>
      </c>
      <c r="BP122" s="1">
        <f t="shared" si="107"/>
        <v>0</v>
      </c>
      <c r="BQ122" s="1">
        <f t="shared" si="108"/>
        <v>0</v>
      </c>
      <c r="BR122" s="1">
        <f t="shared" si="109"/>
        <v>0</v>
      </c>
      <c r="BS122" s="1">
        <f t="shared" si="110"/>
        <v>0</v>
      </c>
      <c r="BT122" s="1">
        <f t="shared" si="111"/>
        <v>0</v>
      </c>
      <c r="BU122" s="1">
        <f t="shared" si="48"/>
        <v>0</v>
      </c>
      <c r="BV122" s="1">
        <f t="shared" si="112"/>
        <v>0</v>
      </c>
      <c r="BW122" s="1">
        <f t="shared" si="113"/>
        <v>0</v>
      </c>
      <c r="BX122" s="1">
        <f t="shared" si="114"/>
        <v>0</v>
      </c>
      <c r="BY122" s="1">
        <f t="shared" si="115"/>
        <v>0</v>
      </c>
      <c r="BZ122" s="1">
        <f t="shared" si="116"/>
        <v>0</v>
      </c>
      <c r="CA122" s="1">
        <f t="shared" si="117"/>
        <v>0</v>
      </c>
      <c r="CB122" s="1">
        <f t="shared" si="118"/>
        <v>0</v>
      </c>
      <c r="CC122" s="1">
        <f t="shared" si="119"/>
        <v>0</v>
      </c>
      <c r="CD122" s="1">
        <f t="shared" si="120"/>
        <v>0</v>
      </c>
      <c r="CE122" s="1"/>
      <c r="CH122" s="1" t="s">
        <v>55</v>
      </c>
      <c r="CI122" s="1">
        <v>0</v>
      </c>
      <c r="CJ122" s="1">
        <v>0</v>
      </c>
      <c r="CK122" s="1">
        <v>0</v>
      </c>
      <c r="CL122" s="1">
        <v>0</v>
      </c>
      <c r="CM122" s="1">
        <v>0</v>
      </c>
      <c r="CN122" s="1">
        <v>0</v>
      </c>
      <c r="CO122" s="1">
        <v>0</v>
      </c>
      <c r="CP122" s="1">
        <v>0</v>
      </c>
      <c r="CQ122" s="1">
        <v>0</v>
      </c>
      <c r="CR122" s="1">
        <v>0</v>
      </c>
      <c r="CS122" s="1">
        <v>0</v>
      </c>
      <c r="CT122" s="1">
        <v>0</v>
      </c>
      <c r="CU122" s="1">
        <v>0</v>
      </c>
      <c r="CV122" s="1">
        <v>0</v>
      </c>
      <c r="CW122" s="1">
        <v>0</v>
      </c>
      <c r="CX122" s="1">
        <v>0</v>
      </c>
      <c r="CY122" s="1">
        <v>0</v>
      </c>
      <c r="CZ122" s="1">
        <v>0</v>
      </c>
      <c r="DA122" s="1">
        <v>0</v>
      </c>
      <c r="DB122" s="1">
        <v>0</v>
      </c>
      <c r="DC122" s="1">
        <v>0</v>
      </c>
      <c r="DD122" s="1">
        <v>0</v>
      </c>
      <c r="DE122" s="1">
        <v>0</v>
      </c>
      <c r="DF122" s="1">
        <v>0</v>
      </c>
      <c r="DG122" s="1">
        <v>0</v>
      </c>
      <c r="DH122" s="1">
        <v>0</v>
      </c>
      <c r="DI122" s="1">
        <v>0</v>
      </c>
      <c r="DJ122" s="1">
        <v>52</v>
      </c>
      <c r="DK122" s="1">
        <v>0</v>
      </c>
      <c r="DL122" s="1">
        <v>0</v>
      </c>
      <c r="DM122" s="1">
        <v>0</v>
      </c>
      <c r="DN122" s="1">
        <v>0</v>
      </c>
      <c r="DO122" s="1">
        <v>0</v>
      </c>
      <c r="DP122" s="1">
        <v>0</v>
      </c>
      <c r="DQ122" s="1">
        <v>0</v>
      </c>
      <c r="DR122" s="1">
        <v>0</v>
      </c>
      <c r="DS122" s="1">
        <v>0</v>
      </c>
      <c r="DT122" s="1">
        <v>0</v>
      </c>
      <c r="DU122" s="1">
        <v>0</v>
      </c>
      <c r="DV122" s="1">
        <v>0</v>
      </c>
      <c r="DW122" s="1">
        <v>0</v>
      </c>
      <c r="DX122" s="1">
        <v>0</v>
      </c>
      <c r="DY122" s="1">
        <v>0</v>
      </c>
      <c r="DZ122" s="1">
        <v>0</v>
      </c>
      <c r="EA122" s="1">
        <v>0</v>
      </c>
      <c r="EB122" s="1">
        <v>0</v>
      </c>
      <c r="EC122" s="1">
        <v>0</v>
      </c>
      <c r="ED122" s="1">
        <v>0</v>
      </c>
      <c r="EE122" s="1">
        <v>0</v>
      </c>
      <c r="EF122" s="1">
        <v>0</v>
      </c>
      <c r="EG122" s="1">
        <v>0</v>
      </c>
      <c r="EH122" s="1">
        <v>0</v>
      </c>
      <c r="EI122" s="1">
        <v>0</v>
      </c>
      <c r="EJ122" s="1">
        <v>0</v>
      </c>
      <c r="EK122" s="1">
        <v>0</v>
      </c>
      <c r="EL122" s="1">
        <v>0</v>
      </c>
      <c r="EM122" s="1">
        <v>0</v>
      </c>
      <c r="EN122" s="1">
        <v>0</v>
      </c>
      <c r="EO122" s="1">
        <v>0</v>
      </c>
      <c r="EP122" s="1">
        <v>0</v>
      </c>
      <c r="EQ122" s="1">
        <v>0</v>
      </c>
      <c r="ER122" s="1">
        <v>0</v>
      </c>
      <c r="ES122" s="1">
        <v>0</v>
      </c>
      <c r="ET122" s="1">
        <v>0</v>
      </c>
      <c r="EU122" s="1">
        <v>0</v>
      </c>
      <c r="EV122" s="1">
        <v>0</v>
      </c>
      <c r="EW122" s="1">
        <v>0</v>
      </c>
      <c r="EX122" s="1">
        <v>0</v>
      </c>
      <c r="EY122" s="1">
        <v>0</v>
      </c>
      <c r="EZ122" s="1">
        <v>0</v>
      </c>
      <c r="FA122" s="1">
        <v>0</v>
      </c>
      <c r="FB122" s="1">
        <v>0</v>
      </c>
      <c r="FC122" s="1">
        <v>0</v>
      </c>
      <c r="FD122" s="1">
        <v>0</v>
      </c>
      <c r="FE122" s="1">
        <f t="shared" si="46"/>
        <v>52</v>
      </c>
      <c r="FF122" s="1">
        <f>DV157</f>
        <v>45</v>
      </c>
      <c r="FG122" s="1">
        <f t="shared" si="47"/>
        <v>0</v>
      </c>
    </row>
    <row r="123" spans="8:163" ht="15.75" thickBot="1" x14ac:dyDescent="0.3">
      <c r="H123" s="1" t="s">
        <v>56</v>
      </c>
      <c r="I123" s="1">
        <f t="shared" si="45"/>
        <v>0</v>
      </c>
      <c r="J123" s="1">
        <f t="shared" si="49"/>
        <v>0</v>
      </c>
      <c r="K123" s="1">
        <f t="shared" si="50"/>
        <v>0</v>
      </c>
      <c r="L123" s="1">
        <f t="shared" si="51"/>
        <v>0</v>
      </c>
      <c r="M123" s="1">
        <f t="shared" si="52"/>
        <v>0</v>
      </c>
      <c r="N123" s="1">
        <f t="shared" si="53"/>
        <v>0</v>
      </c>
      <c r="O123" s="1">
        <f t="shared" si="54"/>
        <v>0</v>
      </c>
      <c r="P123" s="1">
        <f t="shared" si="55"/>
        <v>0</v>
      </c>
      <c r="Q123" s="1">
        <f t="shared" si="56"/>
        <v>0</v>
      </c>
      <c r="R123" s="1">
        <f t="shared" si="57"/>
        <v>0</v>
      </c>
      <c r="S123" s="1">
        <f t="shared" si="58"/>
        <v>0</v>
      </c>
      <c r="T123" s="1">
        <f t="shared" si="59"/>
        <v>0</v>
      </c>
      <c r="U123" s="1">
        <f t="shared" si="60"/>
        <v>0</v>
      </c>
      <c r="V123" s="1">
        <f t="shared" si="61"/>
        <v>0</v>
      </c>
      <c r="W123" s="1">
        <f t="shared" si="62"/>
        <v>0</v>
      </c>
      <c r="X123" s="1">
        <f t="shared" si="63"/>
        <v>0</v>
      </c>
      <c r="Y123" s="1">
        <f t="shared" si="64"/>
        <v>0</v>
      </c>
      <c r="Z123" s="1">
        <f t="shared" si="65"/>
        <v>0</v>
      </c>
      <c r="AA123" s="1">
        <f t="shared" si="66"/>
        <v>0</v>
      </c>
      <c r="AB123" s="1">
        <f t="shared" si="67"/>
        <v>0</v>
      </c>
      <c r="AC123" s="1">
        <f t="shared" si="68"/>
        <v>0</v>
      </c>
      <c r="AD123" s="1">
        <f t="shared" si="69"/>
        <v>0</v>
      </c>
      <c r="AE123" s="1">
        <f t="shared" si="70"/>
        <v>0</v>
      </c>
      <c r="AF123" s="1">
        <f t="shared" si="71"/>
        <v>0</v>
      </c>
      <c r="AG123" s="1">
        <f t="shared" si="72"/>
        <v>0</v>
      </c>
      <c r="AH123" s="1">
        <f t="shared" si="73"/>
        <v>0</v>
      </c>
      <c r="AI123" s="1">
        <f t="shared" si="74"/>
        <v>0</v>
      </c>
      <c r="AJ123" s="1">
        <f t="shared" si="75"/>
        <v>0</v>
      </c>
      <c r="AK123" s="1">
        <f t="shared" si="76"/>
        <v>0</v>
      </c>
      <c r="AL123" s="1">
        <f t="shared" si="77"/>
        <v>0</v>
      </c>
      <c r="AM123" s="1">
        <f t="shared" si="78"/>
        <v>0</v>
      </c>
      <c r="AN123" s="1">
        <f t="shared" si="79"/>
        <v>0</v>
      </c>
      <c r="AO123" s="1">
        <f t="shared" si="80"/>
        <v>0</v>
      </c>
      <c r="AP123" s="1">
        <f t="shared" si="81"/>
        <v>0</v>
      </c>
      <c r="AQ123" s="1">
        <f t="shared" si="82"/>
        <v>0</v>
      </c>
      <c r="AR123" s="1">
        <f t="shared" si="83"/>
        <v>0</v>
      </c>
      <c r="AS123" s="1">
        <f t="shared" si="84"/>
        <v>0</v>
      </c>
      <c r="AT123" s="1">
        <f t="shared" si="85"/>
        <v>0</v>
      </c>
      <c r="AU123" s="1">
        <f t="shared" si="86"/>
        <v>0</v>
      </c>
      <c r="AV123" s="1">
        <f t="shared" si="87"/>
        <v>0</v>
      </c>
      <c r="AW123" s="1">
        <f t="shared" si="88"/>
        <v>0</v>
      </c>
      <c r="AX123" s="1">
        <f t="shared" si="89"/>
        <v>0</v>
      </c>
      <c r="AY123" s="1">
        <f t="shared" si="90"/>
        <v>0</v>
      </c>
      <c r="AZ123" s="1">
        <f t="shared" si="91"/>
        <v>0</v>
      </c>
      <c r="BA123" s="1">
        <f t="shared" si="92"/>
        <v>0</v>
      </c>
      <c r="BB123" s="1">
        <f t="shared" si="93"/>
        <v>0</v>
      </c>
      <c r="BC123" s="1">
        <f t="shared" si="94"/>
        <v>0</v>
      </c>
      <c r="BD123" s="1">
        <f t="shared" si="95"/>
        <v>0</v>
      </c>
      <c r="BE123" s="1">
        <f t="shared" si="96"/>
        <v>-56</v>
      </c>
      <c r="BF123" s="1">
        <f t="shared" si="97"/>
        <v>0</v>
      </c>
      <c r="BG123" s="1">
        <f t="shared" si="98"/>
        <v>0</v>
      </c>
      <c r="BH123" s="1">
        <f t="shared" si="99"/>
        <v>0</v>
      </c>
      <c r="BI123" s="1">
        <f t="shared" si="100"/>
        <v>0</v>
      </c>
      <c r="BJ123" s="1">
        <f t="shared" si="101"/>
        <v>0</v>
      </c>
      <c r="BK123" s="1">
        <f t="shared" si="102"/>
        <v>0</v>
      </c>
      <c r="BL123" s="1">
        <f t="shared" si="103"/>
        <v>0</v>
      </c>
      <c r="BM123" s="1">
        <f t="shared" si="104"/>
        <v>0</v>
      </c>
      <c r="BN123" s="1">
        <f t="shared" si="105"/>
        <v>0</v>
      </c>
      <c r="BO123" s="1">
        <f t="shared" si="106"/>
        <v>0</v>
      </c>
      <c r="BP123" s="1">
        <f t="shared" si="107"/>
        <v>0</v>
      </c>
      <c r="BQ123" s="1">
        <f t="shared" si="108"/>
        <v>0</v>
      </c>
      <c r="BR123" s="1">
        <f t="shared" si="109"/>
        <v>0</v>
      </c>
      <c r="BS123" s="1">
        <f t="shared" si="110"/>
        <v>0</v>
      </c>
      <c r="BT123" s="1">
        <f t="shared" si="111"/>
        <v>0</v>
      </c>
      <c r="BU123" s="1">
        <f t="shared" si="48"/>
        <v>0</v>
      </c>
      <c r="BV123" s="1">
        <f t="shared" si="112"/>
        <v>0</v>
      </c>
      <c r="BW123" s="1">
        <f t="shared" si="113"/>
        <v>0</v>
      </c>
      <c r="BX123" s="1">
        <f t="shared" si="114"/>
        <v>0</v>
      </c>
      <c r="BY123" s="1">
        <f t="shared" si="115"/>
        <v>0</v>
      </c>
      <c r="BZ123" s="1">
        <f t="shared" si="116"/>
        <v>0</v>
      </c>
      <c r="CA123" s="1">
        <f t="shared" si="117"/>
        <v>0</v>
      </c>
      <c r="CB123" s="1">
        <f t="shared" si="118"/>
        <v>0</v>
      </c>
      <c r="CC123" s="1">
        <f t="shared" si="119"/>
        <v>0</v>
      </c>
      <c r="CD123" s="1">
        <f t="shared" si="120"/>
        <v>0</v>
      </c>
      <c r="CE123" s="1"/>
      <c r="CH123" s="1" t="s">
        <v>56</v>
      </c>
      <c r="CI123" s="1">
        <v>0</v>
      </c>
      <c r="CJ123" s="1">
        <v>0</v>
      </c>
      <c r="CK123" s="1">
        <v>0</v>
      </c>
      <c r="CL123" s="1">
        <v>0</v>
      </c>
      <c r="CM123" s="1">
        <v>0</v>
      </c>
      <c r="CN123" s="1">
        <v>0</v>
      </c>
      <c r="CO123" s="1">
        <v>0</v>
      </c>
      <c r="CP123" s="1">
        <v>0</v>
      </c>
      <c r="CQ123" s="1">
        <v>0</v>
      </c>
      <c r="CR123" s="1">
        <v>0</v>
      </c>
      <c r="CS123" s="1">
        <v>0</v>
      </c>
      <c r="CT123" s="1">
        <v>0</v>
      </c>
      <c r="CU123" s="1">
        <v>0</v>
      </c>
      <c r="CV123" s="1">
        <v>0</v>
      </c>
      <c r="CW123" s="1">
        <v>0</v>
      </c>
      <c r="CX123" s="1">
        <v>0</v>
      </c>
      <c r="CY123" s="1">
        <v>0</v>
      </c>
      <c r="CZ123" s="1">
        <v>0</v>
      </c>
      <c r="DA123" s="1">
        <v>0</v>
      </c>
      <c r="DB123" s="1">
        <v>0</v>
      </c>
      <c r="DC123" s="1">
        <v>0</v>
      </c>
      <c r="DD123" s="1">
        <v>0</v>
      </c>
      <c r="DE123" s="1">
        <v>0</v>
      </c>
      <c r="DF123" s="1">
        <v>0</v>
      </c>
      <c r="DG123" s="1">
        <v>0</v>
      </c>
      <c r="DH123" s="1">
        <v>0</v>
      </c>
      <c r="DI123" s="1">
        <v>0</v>
      </c>
      <c r="DJ123" s="1">
        <v>0</v>
      </c>
      <c r="DK123" s="1">
        <v>0</v>
      </c>
      <c r="DL123" s="1">
        <v>0</v>
      </c>
      <c r="DM123" s="1">
        <v>0</v>
      </c>
      <c r="DN123" s="1">
        <v>0</v>
      </c>
      <c r="DO123" s="1">
        <v>0</v>
      </c>
      <c r="DP123" s="1">
        <v>0</v>
      </c>
      <c r="DQ123" s="1">
        <v>0</v>
      </c>
      <c r="DR123" s="1">
        <v>0</v>
      </c>
      <c r="DS123" s="1">
        <v>0</v>
      </c>
      <c r="DT123" s="1">
        <v>0</v>
      </c>
      <c r="DU123" s="1">
        <v>0</v>
      </c>
      <c r="DV123" s="1">
        <v>0</v>
      </c>
      <c r="DW123" s="1">
        <v>0</v>
      </c>
      <c r="DX123" s="1">
        <v>0</v>
      </c>
      <c r="DY123" s="1">
        <v>0</v>
      </c>
      <c r="DZ123" s="1">
        <v>0</v>
      </c>
      <c r="EA123" s="1">
        <v>0</v>
      </c>
      <c r="EB123" s="1">
        <v>0</v>
      </c>
      <c r="EC123" s="1">
        <v>0</v>
      </c>
      <c r="ED123" s="1">
        <v>0</v>
      </c>
      <c r="EE123" s="1">
        <v>14</v>
      </c>
      <c r="EF123" s="1">
        <v>0</v>
      </c>
      <c r="EG123" s="1">
        <v>0</v>
      </c>
      <c r="EH123" s="1">
        <v>0</v>
      </c>
      <c r="EI123" s="1">
        <v>0</v>
      </c>
      <c r="EJ123" s="1">
        <v>0</v>
      </c>
      <c r="EK123" s="1">
        <v>0</v>
      </c>
      <c r="EL123" s="1">
        <v>0</v>
      </c>
      <c r="EM123" s="1">
        <v>0</v>
      </c>
      <c r="EN123" s="1">
        <v>0</v>
      </c>
      <c r="EO123" s="1">
        <v>0</v>
      </c>
      <c r="EP123" s="1">
        <v>0</v>
      </c>
      <c r="EQ123" s="1">
        <v>0</v>
      </c>
      <c r="ER123" s="1">
        <v>0</v>
      </c>
      <c r="ES123" s="1">
        <v>0</v>
      </c>
      <c r="ET123" s="1">
        <v>0</v>
      </c>
      <c r="EU123" s="1">
        <v>0</v>
      </c>
      <c r="EV123" s="1">
        <v>0</v>
      </c>
      <c r="EW123" s="1">
        <v>0</v>
      </c>
      <c r="EX123" s="1">
        <v>0</v>
      </c>
      <c r="EY123" s="1">
        <v>0</v>
      </c>
      <c r="EZ123" s="1">
        <v>0</v>
      </c>
      <c r="FA123" s="1">
        <v>0</v>
      </c>
      <c r="FB123" s="1">
        <v>0</v>
      </c>
      <c r="FC123" s="1">
        <v>0</v>
      </c>
      <c r="FD123" s="1">
        <v>0</v>
      </c>
      <c r="FE123" s="1">
        <f t="shared" si="46"/>
        <v>14</v>
      </c>
      <c r="FF123" s="1">
        <f>DW157</f>
        <v>10</v>
      </c>
      <c r="FG123" s="1">
        <f t="shared" si="47"/>
        <v>0</v>
      </c>
    </row>
    <row r="124" spans="8:163" ht="15.75" thickBot="1" x14ac:dyDescent="0.3">
      <c r="H124" s="1" t="s">
        <v>57</v>
      </c>
      <c r="I124" s="1">
        <f t="shared" si="45"/>
        <v>0</v>
      </c>
      <c r="J124" s="1">
        <f t="shared" si="49"/>
        <v>0</v>
      </c>
      <c r="K124" s="1">
        <f t="shared" si="50"/>
        <v>0</v>
      </c>
      <c r="L124" s="1">
        <f t="shared" si="51"/>
        <v>0</v>
      </c>
      <c r="M124" s="1">
        <f t="shared" si="52"/>
        <v>0</v>
      </c>
      <c r="N124" s="1">
        <f t="shared" si="53"/>
        <v>0</v>
      </c>
      <c r="O124" s="1">
        <f t="shared" si="54"/>
        <v>0</v>
      </c>
      <c r="P124" s="1">
        <f t="shared" si="55"/>
        <v>0</v>
      </c>
      <c r="Q124" s="1">
        <f t="shared" si="56"/>
        <v>0</v>
      </c>
      <c r="R124" s="1">
        <f t="shared" si="57"/>
        <v>-29</v>
      </c>
      <c r="S124" s="1">
        <f t="shared" si="58"/>
        <v>0</v>
      </c>
      <c r="T124" s="1">
        <f t="shared" si="59"/>
        <v>0</v>
      </c>
      <c r="U124" s="1">
        <f t="shared" si="60"/>
        <v>0</v>
      </c>
      <c r="V124" s="1">
        <f t="shared" si="61"/>
        <v>0</v>
      </c>
      <c r="W124" s="1">
        <f t="shared" si="62"/>
        <v>0</v>
      </c>
      <c r="X124" s="1">
        <f t="shared" si="63"/>
        <v>0</v>
      </c>
      <c r="Y124" s="1">
        <f t="shared" si="64"/>
        <v>0</v>
      </c>
      <c r="Z124" s="1">
        <f t="shared" si="65"/>
        <v>0</v>
      </c>
      <c r="AA124" s="1">
        <f t="shared" si="66"/>
        <v>0</v>
      </c>
      <c r="AB124" s="1">
        <f t="shared" si="67"/>
        <v>0</v>
      </c>
      <c r="AC124" s="1">
        <f t="shared" si="68"/>
        <v>0</v>
      </c>
      <c r="AD124" s="1">
        <f t="shared" si="69"/>
        <v>0</v>
      </c>
      <c r="AE124" s="1">
        <f t="shared" si="70"/>
        <v>0</v>
      </c>
      <c r="AF124" s="1">
        <f t="shared" si="71"/>
        <v>0</v>
      </c>
      <c r="AG124" s="1">
        <f t="shared" si="72"/>
        <v>0</v>
      </c>
      <c r="AH124" s="1">
        <f t="shared" si="73"/>
        <v>0</v>
      </c>
      <c r="AI124" s="1">
        <f t="shared" si="74"/>
        <v>0</v>
      </c>
      <c r="AJ124" s="1">
        <f t="shared" si="75"/>
        <v>0</v>
      </c>
      <c r="AK124" s="1">
        <f t="shared" si="76"/>
        <v>0</v>
      </c>
      <c r="AL124" s="1">
        <f t="shared" si="77"/>
        <v>0</v>
      </c>
      <c r="AM124" s="1">
        <f t="shared" si="78"/>
        <v>0</v>
      </c>
      <c r="AN124" s="1">
        <f t="shared" si="79"/>
        <v>0</v>
      </c>
      <c r="AO124" s="1">
        <f t="shared" si="80"/>
        <v>0</v>
      </c>
      <c r="AP124" s="1">
        <f t="shared" si="81"/>
        <v>0</v>
      </c>
      <c r="AQ124" s="1">
        <f t="shared" si="82"/>
        <v>0</v>
      </c>
      <c r="AR124" s="1">
        <f t="shared" si="83"/>
        <v>0</v>
      </c>
      <c r="AS124" s="1">
        <f t="shared" si="84"/>
        <v>0</v>
      </c>
      <c r="AT124" s="1">
        <f t="shared" si="85"/>
        <v>0</v>
      </c>
      <c r="AU124" s="1">
        <f t="shared" si="86"/>
        <v>0</v>
      </c>
      <c r="AV124" s="1">
        <f t="shared" si="87"/>
        <v>0</v>
      </c>
      <c r="AW124" s="1">
        <f t="shared" si="88"/>
        <v>0</v>
      </c>
      <c r="AX124" s="1">
        <f t="shared" si="89"/>
        <v>0</v>
      </c>
      <c r="AY124" s="1">
        <f t="shared" si="90"/>
        <v>0</v>
      </c>
      <c r="AZ124" s="1">
        <f t="shared" si="91"/>
        <v>0</v>
      </c>
      <c r="BA124" s="1">
        <f t="shared" si="92"/>
        <v>0</v>
      </c>
      <c r="BB124" s="1">
        <f t="shared" si="93"/>
        <v>0</v>
      </c>
      <c r="BC124" s="1">
        <f t="shared" si="94"/>
        <v>0</v>
      </c>
      <c r="BD124" s="1">
        <f t="shared" si="95"/>
        <v>0</v>
      </c>
      <c r="BE124" s="1">
        <f t="shared" si="96"/>
        <v>0</v>
      </c>
      <c r="BF124" s="1">
        <f t="shared" si="97"/>
        <v>0</v>
      </c>
      <c r="BG124" s="1">
        <f t="shared" si="98"/>
        <v>0</v>
      </c>
      <c r="BH124" s="1">
        <f t="shared" si="99"/>
        <v>0</v>
      </c>
      <c r="BI124" s="1">
        <f t="shared" si="100"/>
        <v>0</v>
      </c>
      <c r="BJ124" s="1">
        <f t="shared" si="101"/>
        <v>0</v>
      </c>
      <c r="BK124" s="1">
        <f t="shared" si="102"/>
        <v>0</v>
      </c>
      <c r="BL124" s="1">
        <f t="shared" si="103"/>
        <v>0</v>
      </c>
      <c r="BM124" s="1">
        <f t="shared" si="104"/>
        <v>0</v>
      </c>
      <c r="BN124" s="1">
        <f t="shared" si="105"/>
        <v>0</v>
      </c>
      <c r="BO124" s="1">
        <f t="shared" si="106"/>
        <v>0</v>
      </c>
      <c r="BP124" s="1">
        <f t="shared" si="107"/>
        <v>0</v>
      </c>
      <c r="BQ124" s="1">
        <f t="shared" si="108"/>
        <v>0</v>
      </c>
      <c r="BR124" s="1">
        <f t="shared" si="109"/>
        <v>0</v>
      </c>
      <c r="BS124" s="1">
        <f t="shared" si="110"/>
        <v>0</v>
      </c>
      <c r="BT124" s="1">
        <f t="shared" si="111"/>
        <v>0</v>
      </c>
      <c r="BU124" s="1">
        <f t="shared" si="48"/>
        <v>0</v>
      </c>
      <c r="BV124" s="1">
        <f t="shared" si="112"/>
        <v>0</v>
      </c>
      <c r="BW124" s="1">
        <f t="shared" si="113"/>
        <v>0</v>
      </c>
      <c r="BX124" s="1">
        <f t="shared" si="114"/>
        <v>0</v>
      </c>
      <c r="BY124" s="1">
        <f t="shared" si="115"/>
        <v>0</v>
      </c>
      <c r="BZ124" s="1">
        <f t="shared" si="116"/>
        <v>0</v>
      </c>
      <c r="CA124" s="1">
        <f t="shared" si="117"/>
        <v>0</v>
      </c>
      <c r="CB124" s="1">
        <f t="shared" si="118"/>
        <v>0</v>
      </c>
      <c r="CC124" s="1">
        <f t="shared" si="119"/>
        <v>0</v>
      </c>
      <c r="CD124" s="1">
        <f t="shared" si="120"/>
        <v>0</v>
      </c>
      <c r="CE124" s="1"/>
      <c r="CH124" s="1" t="s">
        <v>57</v>
      </c>
      <c r="CI124" s="1">
        <v>0</v>
      </c>
      <c r="CJ124" s="1">
        <v>0</v>
      </c>
      <c r="CK124" s="1">
        <v>0</v>
      </c>
      <c r="CL124" s="1">
        <v>0</v>
      </c>
      <c r="CM124" s="1">
        <v>0</v>
      </c>
      <c r="CN124" s="1">
        <v>0</v>
      </c>
      <c r="CO124" s="1">
        <v>0</v>
      </c>
      <c r="CP124" s="1">
        <v>0</v>
      </c>
      <c r="CQ124" s="1">
        <v>0</v>
      </c>
      <c r="CR124" s="1">
        <v>41</v>
      </c>
      <c r="CS124" s="1">
        <v>0</v>
      </c>
      <c r="CT124" s="1">
        <v>0</v>
      </c>
      <c r="CU124" s="1">
        <v>0</v>
      </c>
      <c r="CV124" s="1">
        <v>0</v>
      </c>
      <c r="CW124" s="1">
        <v>0</v>
      </c>
      <c r="CX124" s="1">
        <v>0</v>
      </c>
      <c r="CY124" s="1">
        <v>0</v>
      </c>
      <c r="CZ124" s="1">
        <v>0</v>
      </c>
      <c r="DA124" s="1">
        <v>0</v>
      </c>
      <c r="DB124" s="1">
        <v>0</v>
      </c>
      <c r="DC124" s="1">
        <v>0</v>
      </c>
      <c r="DD124" s="1">
        <v>0</v>
      </c>
      <c r="DE124" s="1">
        <v>0</v>
      </c>
      <c r="DF124" s="1">
        <v>0</v>
      </c>
      <c r="DG124" s="1">
        <v>0</v>
      </c>
      <c r="DH124" s="1">
        <v>0</v>
      </c>
      <c r="DI124" s="1">
        <v>0</v>
      </c>
      <c r="DJ124" s="1">
        <v>0</v>
      </c>
      <c r="DK124" s="1">
        <v>0</v>
      </c>
      <c r="DL124" s="1">
        <v>0</v>
      </c>
      <c r="DM124" s="1">
        <v>0</v>
      </c>
      <c r="DN124" s="1">
        <v>0</v>
      </c>
      <c r="DO124" s="1">
        <v>0</v>
      </c>
      <c r="DP124" s="1">
        <v>0</v>
      </c>
      <c r="DQ124" s="1">
        <v>0</v>
      </c>
      <c r="DR124" s="1">
        <v>0</v>
      </c>
      <c r="DS124" s="1">
        <v>0</v>
      </c>
      <c r="DT124" s="1">
        <v>0</v>
      </c>
      <c r="DU124" s="1">
        <v>0</v>
      </c>
      <c r="DV124" s="1">
        <v>0</v>
      </c>
      <c r="DW124" s="1">
        <v>0</v>
      </c>
      <c r="DX124" s="1">
        <v>0</v>
      </c>
      <c r="DY124" s="1">
        <v>0</v>
      </c>
      <c r="DZ124" s="1">
        <v>0</v>
      </c>
      <c r="EA124" s="1">
        <v>0</v>
      </c>
      <c r="EB124" s="1">
        <v>0</v>
      </c>
      <c r="EC124" s="1">
        <v>0</v>
      </c>
      <c r="ED124" s="1">
        <v>0</v>
      </c>
      <c r="EE124" s="1">
        <v>0</v>
      </c>
      <c r="EF124" s="1">
        <v>0</v>
      </c>
      <c r="EG124" s="1">
        <v>0</v>
      </c>
      <c r="EH124" s="1">
        <v>0</v>
      </c>
      <c r="EI124" s="1">
        <v>0</v>
      </c>
      <c r="EJ124" s="1">
        <v>0</v>
      </c>
      <c r="EK124" s="1">
        <v>0</v>
      </c>
      <c r="EL124" s="1">
        <v>0</v>
      </c>
      <c r="EM124" s="1">
        <v>0</v>
      </c>
      <c r="EN124" s="1">
        <v>0</v>
      </c>
      <c r="EO124" s="1">
        <v>0</v>
      </c>
      <c r="EP124" s="1">
        <v>0</v>
      </c>
      <c r="EQ124" s="1">
        <v>0</v>
      </c>
      <c r="ER124" s="1">
        <v>0</v>
      </c>
      <c r="ES124" s="1">
        <v>0</v>
      </c>
      <c r="ET124" s="1">
        <v>0</v>
      </c>
      <c r="EU124" s="1">
        <v>0</v>
      </c>
      <c r="EV124" s="1">
        <v>0</v>
      </c>
      <c r="EW124" s="1">
        <v>0</v>
      </c>
      <c r="EX124" s="1">
        <v>0</v>
      </c>
      <c r="EY124" s="1">
        <v>0</v>
      </c>
      <c r="EZ124" s="1">
        <v>0</v>
      </c>
      <c r="FA124" s="1">
        <v>0</v>
      </c>
      <c r="FB124" s="1">
        <v>0</v>
      </c>
      <c r="FC124" s="1">
        <v>0</v>
      </c>
      <c r="FD124" s="1">
        <v>0</v>
      </c>
      <c r="FE124" s="1">
        <f t="shared" si="46"/>
        <v>41</v>
      </c>
      <c r="FF124" s="1">
        <f>DX157</f>
        <v>37</v>
      </c>
      <c r="FG124" s="1">
        <f t="shared" si="47"/>
        <v>0</v>
      </c>
    </row>
    <row r="125" spans="8:163" ht="15.75" thickBot="1" x14ac:dyDescent="0.3">
      <c r="H125" s="1" t="s">
        <v>58</v>
      </c>
      <c r="I125" s="1">
        <f t="shared" si="45"/>
        <v>0</v>
      </c>
      <c r="J125" s="1">
        <f t="shared" si="49"/>
        <v>0</v>
      </c>
      <c r="K125" s="1">
        <f t="shared" si="50"/>
        <v>0</v>
      </c>
      <c r="L125" s="1">
        <f t="shared" si="51"/>
        <v>0</v>
      </c>
      <c r="M125" s="1">
        <f t="shared" si="52"/>
        <v>0</v>
      </c>
      <c r="N125" s="1">
        <f t="shared" si="53"/>
        <v>0</v>
      </c>
      <c r="O125" s="1">
        <f t="shared" si="54"/>
        <v>0</v>
      </c>
      <c r="P125" s="1">
        <f t="shared" si="55"/>
        <v>0</v>
      </c>
      <c r="Q125" s="1">
        <f t="shared" si="56"/>
        <v>0</v>
      </c>
      <c r="R125" s="1">
        <f t="shared" si="57"/>
        <v>0</v>
      </c>
      <c r="S125" s="1">
        <f t="shared" si="58"/>
        <v>0</v>
      </c>
      <c r="T125" s="1">
        <f t="shared" si="59"/>
        <v>0</v>
      </c>
      <c r="U125" s="1">
        <f t="shared" si="60"/>
        <v>0</v>
      </c>
      <c r="V125" s="1">
        <f t="shared" si="61"/>
        <v>0</v>
      </c>
      <c r="W125" s="1">
        <f t="shared" si="62"/>
        <v>0</v>
      </c>
      <c r="X125" s="1">
        <f t="shared" si="63"/>
        <v>0</v>
      </c>
      <c r="Y125" s="1">
        <f t="shared" si="64"/>
        <v>0</v>
      </c>
      <c r="Z125" s="1">
        <f t="shared" si="65"/>
        <v>0</v>
      </c>
      <c r="AA125" s="1">
        <f t="shared" si="66"/>
        <v>0</v>
      </c>
      <c r="AB125" s="1">
        <f t="shared" si="67"/>
        <v>0</v>
      </c>
      <c r="AC125" s="1">
        <f t="shared" si="68"/>
        <v>0</v>
      </c>
      <c r="AD125" s="1">
        <f t="shared" si="69"/>
        <v>0</v>
      </c>
      <c r="AE125" s="1">
        <f t="shared" si="70"/>
        <v>0</v>
      </c>
      <c r="AF125" s="1">
        <f t="shared" si="71"/>
        <v>0</v>
      </c>
      <c r="AG125" s="1">
        <f t="shared" si="72"/>
        <v>0</v>
      </c>
      <c r="AH125" s="1">
        <f t="shared" si="73"/>
        <v>0</v>
      </c>
      <c r="AI125" s="1">
        <f t="shared" si="74"/>
        <v>0</v>
      </c>
      <c r="AJ125" s="1">
        <f t="shared" si="75"/>
        <v>0</v>
      </c>
      <c r="AK125" s="1">
        <f t="shared" si="76"/>
        <v>0</v>
      </c>
      <c r="AL125" s="1">
        <f t="shared" si="77"/>
        <v>0</v>
      </c>
      <c r="AM125" s="1">
        <f t="shared" si="78"/>
        <v>0</v>
      </c>
      <c r="AN125" s="1">
        <f t="shared" si="79"/>
        <v>0</v>
      </c>
      <c r="AO125" s="1">
        <f t="shared" si="80"/>
        <v>0</v>
      </c>
      <c r="AP125" s="1">
        <f t="shared" si="81"/>
        <v>0</v>
      </c>
      <c r="AQ125" s="1">
        <f t="shared" si="82"/>
        <v>0</v>
      </c>
      <c r="AR125" s="1">
        <f t="shared" si="83"/>
        <v>0</v>
      </c>
      <c r="AS125" s="1">
        <f t="shared" si="84"/>
        <v>0</v>
      </c>
      <c r="AT125" s="1">
        <f t="shared" si="85"/>
        <v>0</v>
      </c>
      <c r="AU125" s="1">
        <f t="shared" si="86"/>
        <v>0</v>
      </c>
      <c r="AV125" s="1">
        <f t="shared" si="87"/>
        <v>0</v>
      </c>
      <c r="AW125" s="1">
        <f t="shared" si="88"/>
        <v>0</v>
      </c>
      <c r="AX125" s="1">
        <f t="shared" si="89"/>
        <v>-33</v>
      </c>
      <c r="AY125" s="1">
        <f t="shared" si="90"/>
        <v>0</v>
      </c>
      <c r="AZ125" s="1">
        <f t="shared" si="91"/>
        <v>0</v>
      </c>
      <c r="BA125" s="1">
        <f t="shared" si="92"/>
        <v>0</v>
      </c>
      <c r="BB125" s="1">
        <f t="shared" si="93"/>
        <v>0</v>
      </c>
      <c r="BC125" s="1">
        <f t="shared" si="94"/>
        <v>0</v>
      </c>
      <c r="BD125" s="1">
        <f t="shared" si="95"/>
        <v>0</v>
      </c>
      <c r="BE125" s="1">
        <f t="shared" si="96"/>
        <v>0</v>
      </c>
      <c r="BF125" s="1">
        <f t="shared" si="97"/>
        <v>0</v>
      </c>
      <c r="BG125" s="1">
        <f t="shared" si="98"/>
        <v>0</v>
      </c>
      <c r="BH125" s="1">
        <f t="shared" si="99"/>
        <v>0</v>
      </c>
      <c r="BI125" s="1">
        <f t="shared" si="100"/>
        <v>0</v>
      </c>
      <c r="BJ125" s="1">
        <f t="shared" si="101"/>
        <v>0</v>
      </c>
      <c r="BK125" s="1">
        <f t="shared" si="102"/>
        <v>0</v>
      </c>
      <c r="BL125" s="1">
        <f t="shared" si="103"/>
        <v>0</v>
      </c>
      <c r="BM125" s="1">
        <f t="shared" si="104"/>
        <v>0</v>
      </c>
      <c r="BN125" s="1">
        <f t="shared" si="105"/>
        <v>0</v>
      </c>
      <c r="BO125" s="1">
        <f t="shared" si="106"/>
        <v>0</v>
      </c>
      <c r="BP125" s="1">
        <f t="shared" si="107"/>
        <v>0</v>
      </c>
      <c r="BQ125" s="1">
        <f t="shared" si="108"/>
        <v>0</v>
      </c>
      <c r="BR125" s="1">
        <f t="shared" si="109"/>
        <v>0</v>
      </c>
      <c r="BS125" s="1">
        <f t="shared" si="110"/>
        <v>0</v>
      </c>
      <c r="BT125" s="1">
        <f t="shared" si="111"/>
        <v>0</v>
      </c>
      <c r="BU125" s="1">
        <f t="shared" si="48"/>
        <v>0</v>
      </c>
      <c r="BV125" s="1">
        <f t="shared" si="112"/>
        <v>0</v>
      </c>
      <c r="BW125" s="1">
        <f t="shared" si="113"/>
        <v>0</v>
      </c>
      <c r="BX125" s="1">
        <f t="shared" si="114"/>
        <v>0</v>
      </c>
      <c r="BY125" s="1">
        <f t="shared" si="115"/>
        <v>0</v>
      </c>
      <c r="BZ125" s="1">
        <f t="shared" si="116"/>
        <v>0</v>
      </c>
      <c r="CA125" s="1">
        <f t="shared" si="117"/>
        <v>0</v>
      </c>
      <c r="CB125" s="1">
        <f t="shared" si="118"/>
        <v>0</v>
      </c>
      <c r="CC125" s="1">
        <f t="shared" si="119"/>
        <v>0</v>
      </c>
      <c r="CD125" s="1">
        <f t="shared" si="120"/>
        <v>0</v>
      </c>
      <c r="CE125" s="1"/>
      <c r="CH125" s="1" t="s">
        <v>58</v>
      </c>
      <c r="CI125" s="1">
        <v>0</v>
      </c>
      <c r="CJ125" s="1">
        <v>0</v>
      </c>
      <c r="CK125" s="1">
        <v>0</v>
      </c>
      <c r="CL125" s="1">
        <v>0</v>
      </c>
      <c r="CM125" s="1">
        <v>0</v>
      </c>
      <c r="CN125" s="1">
        <v>0</v>
      </c>
      <c r="CO125" s="1">
        <v>0</v>
      </c>
      <c r="CP125" s="1">
        <v>0</v>
      </c>
      <c r="CQ125" s="1">
        <v>0</v>
      </c>
      <c r="CR125" s="1">
        <v>0</v>
      </c>
      <c r="CS125" s="1">
        <v>0</v>
      </c>
      <c r="CT125" s="1">
        <v>0</v>
      </c>
      <c r="CU125" s="1">
        <v>0</v>
      </c>
      <c r="CV125" s="1">
        <v>0</v>
      </c>
      <c r="CW125" s="1">
        <v>0</v>
      </c>
      <c r="CX125" s="1">
        <v>0</v>
      </c>
      <c r="CY125" s="1">
        <v>0</v>
      </c>
      <c r="CZ125" s="1">
        <v>0</v>
      </c>
      <c r="DA125" s="1">
        <v>0</v>
      </c>
      <c r="DB125" s="1">
        <v>0</v>
      </c>
      <c r="DC125" s="1">
        <v>0</v>
      </c>
      <c r="DD125" s="1">
        <v>0</v>
      </c>
      <c r="DE125" s="1">
        <v>0</v>
      </c>
      <c r="DF125" s="1">
        <v>0</v>
      </c>
      <c r="DG125" s="1">
        <v>0</v>
      </c>
      <c r="DH125" s="1">
        <v>0</v>
      </c>
      <c r="DI125" s="1">
        <v>0</v>
      </c>
      <c r="DJ125" s="1">
        <v>0</v>
      </c>
      <c r="DK125" s="1">
        <v>0</v>
      </c>
      <c r="DL125" s="1">
        <v>0</v>
      </c>
      <c r="DM125" s="1">
        <v>0</v>
      </c>
      <c r="DN125" s="1">
        <v>0</v>
      </c>
      <c r="DO125" s="1">
        <v>0</v>
      </c>
      <c r="DP125" s="1">
        <v>0</v>
      </c>
      <c r="DQ125" s="1">
        <v>0</v>
      </c>
      <c r="DR125" s="1">
        <v>0</v>
      </c>
      <c r="DS125" s="1">
        <v>0</v>
      </c>
      <c r="DT125" s="1">
        <v>0</v>
      </c>
      <c r="DU125" s="1">
        <v>0</v>
      </c>
      <c r="DV125" s="1">
        <v>0</v>
      </c>
      <c r="DW125" s="1">
        <v>0</v>
      </c>
      <c r="DX125" s="1">
        <v>37</v>
      </c>
      <c r="DY125" s="1">
        <v>0</v>
      </c>
      <c r="DZ125" s="1">
        <v>0</v>
      </c>
      <c r="EA125" s="1">
        <v>0</v>
      </c>
      <c r="EB125" s="1">
        <v>0</v>
      </c>
      <c r="EC125" s="1">
        <v>0</v>
      </c>
      <c r="ED125" s="1">
        <v>0</v>
      </c>
      <c r="EE125" s="1">
        <v>0</v>
      </c>
      <c r="EF125" s="1">
        <v>0</v>
      </c>
      <c r="EG125" s="1">
        <v>0</v>
      </c>
      <c r="EH125" s="1">
        <v>0</v>
      </c>
      <c r="EI125" s="1">
        <v>0</v>
      </c>
      <c r="EJ125" s="1">
        <v>0</v>
      </c>
      <c r="EK125" s="1">
        <v>0</v>
      </c>
      <c r="EL125" s="1">
        <v>0</v>
      </c>
      <c r="EM125" s="1">
        <v>0</v>
      </c>
      <c r="EN125" s="1">
        <v>0</v>
      </c>
      <c r="EO125" s="1">
        <v>0</v>
      </c>
      <c r="EP125" s="1">
        <v>0</v>
      </c>
      <c r="EQ125" s="1">
        <v>0</v>
      </c>
      <c r="ER125" s="1">
        <v>0</v>
      </c>
      <c r="ES125" s="1">
        <v>0</v>
      </c>
      <c r="ET125" s="1">
        <v>0</v>
      </c>
      <c r="EU125" s="1">
        <v>0</v>
      </c>
      <c r="EV125" s="1">
        <v>0</v>
      </c>
      <c r="EW125" s="1">
        <v>0</v>
      </c>
      <c r="EX125" s="1">
        <v>0</v>
      </c>
      <c r="EY125" s="1">
        <v>0</v>
      </c>
      <c r="EZ125" s="1">
        <v>0</v>
      </c>
      <c r="FA125" s="1">
        <v>0</v>
      </c>
      <c r="FB125" s="1">
        <v>0</v>
      </c>
      <c r="FC125" s="1">
        <v>0</v>
      </c>
      <c r="FD125" s="1">
        <v>0</v>
      </c>
      <c r="FE125" s="1">
        <f t="shared" si="46"/>
        <v>37</v>
      </c>
      <c r="FF125" s="1">
        <f>DY157</f>
        <v>23</v>
      </c>
      <c r="FG125" s="1">
        <f t="shared" si="47"/>
        <v>0</v>
      </c>
    </row>
    <row r="126" spans="8:163" ht="15.75" thickBot="1" x14ac:dyDescent="0.3">
      <c r="H126" s="1" t="s">
        <v>59</v>
      </c>
      <c r="I126" s="1">
        <f t="shared" si="45"/>
        <v>0</v>
      </c>
      <c r="J126" s="1">
        <f t="shared" si="49"/>
        <v>0</v>
      </c>
      <c r="K126" s="1">
        <f t="shared" si="50"/>
        <v>0</v>
      </c>
      <c r="L126" s="1">
        <f t="shared" si="51"/>
        <v>0</v>
      </c>
      <c r="M126" s="1">
        <f t="shared" si="52"/>
        <v>0</v>
      </c>
      <c r="N126" s="1">
        <f t="shared" si="53"/>
        <v>0</v>
      </c>
      <c r="O126" s="1">
        <f t="shared" si="54"/>
        <v>0</v>
      </c>
      <c r="P126" s="1">
        <f t="shared" si="55"/>
        <v>0</v>
      </c>
      <c r="Q126" s="1">
        <f t="shared" si="56"/>
        <v>0</v>
      </c>
      <c r="R126" s="1">
        <f t="shared" si="57"/>
        <v>0</v>
      </c>
      <c r="S126" s="1">
        <f t="shared" si="58"/>
        <v>0</v>
      </c>
      <c r="T126" s="1">
        <f t="shared" si="59"/>
        <v>0</v>
      </c>
      <c r="U126" s="1">
        <f t="shared" si="60"/>
        <v>0</v>
      </c>
      <c r="V126" s="1">
        <f t="shared" si="61"/>
        <v>0</v>
      </c>
      <c r="W126" s="1">
        <f t="shared" si="62"/>
        <v>0</v>
      </c>
      <c r="X126" s="1">
        <f t="shared" si="63"/>
        <v>0</v>
      </c>
      <c r="Y126" s="1">
        <f t="shared" si="64"/>
        <v>0</v>
      </c>
      <c r="Z126" s="1">
        <f t="shared" si="65"/>
        <v>0</v>
      </c>
      <c r="AA126" s="1">
        <f t="shared" si="66"/>
        <v>0</v>
      </c>
      <c r="AB126" s="1">
        <f t="shared" si="67"/>
        <v>0</v>
      </c>
      <c r="AC126" s="1">
        <f t="shared" si="68"/>
        <v>0</v>
      </c>
      <c r="AD126" s="1">
        <f t="shared" si="69"/>
        <v>0</v>
      </c>
      <c r="AE126" s="1">
        <f t="shared" si="70"/>
        <v>0</v>
      </c>
      <c r="AF126" s="1">
        <f t="shared" si="71"/>
        <v>0</v>
      </c>
      <c r="AG126" s="1">
        <f t="shared" si="72"/>
        <v>0</v>
      </c>
      <c r="AH126" s="1">
        <f t="shared" si="73"/>
        <v>0</v>
      </c>
      <c r="AI126" s="1">
        <f t="shared" si="74"/>
        <v>0</v>
      </c>
      <c r="AJ126" s="1">
        <f t="shared" si="75"/>
        <v>0</v>
      </c>
      <c r="AK126" s="1">
        <f t="shared" si="76"/>
        <v>0</v>
      </c>
      <c r="AL126" s="1">
        <f t="shared" si="77"/>
        <v>0</v>
      </c>
      <c r="AM126" s="1">
        <f t="shared" si="78"/>
        <v>0</v>
      </c>
      <c r="AN126" s="1">
        <f t="shared" si="79"/>
        <v>0</v>
      </c>
      <c r="AO126" s="1">
        <f t="shared" si="80"/>
        <v>0</v>
      </c>
      <c r="AP126" s="1">
        <f t="shared" si="81"/>
        <v>0</v>
      </c>
      <c r="AQ126" s="1">
        <f t="shared" si="82"/>
        <v>0</v>
      </c>
      <c r="AR126" s="1">
        <f t="shared" si="83"/>
        <v>0</v>
      </c>
      <c r="AS126" s="1">
        <f t="shared" si="84"/>
        <v>0</v>
      </c>
      <c r="AT126" s="1">
        <f t="shared" si="85"/>
        <v>0</v>
      </c>
      <c r="AU126" s="1">
        <f t="shared" si="86"/>
        <v>0</v>
      </c>
      <c r="AV126" s="1">
        <f t="shared" si="87"/>
        <v>0</v>
      </c>
      <c r="AW126" s="1">
        <f t="shared" si="88"/>
        <v>0</v>
      </c>
      <c r="AX126" s="1">
        <f t="shared" si="89"/>
        <v>0</v>
      </c>
      <c r="AY126" s="1">
        <f t="shared" si="90"/>
        <v>0</v>
      </c>
      <c r="AZ126" s="1">
        <f t="shared" si="91"/>
        <v>0</v>
      </c>
      <c r="BA126" s="1">
        <f t="shared" si="92"/>
        <v>-13</v>
      </c>
      <c r="BB126" s="1">
        <f t="shared" si="93"/>
        <v>0</v>
      </c>
      <c r="BC126" s="1">
        <f t="shared" si="94"/>
        <v>0</v>
      </c>
      <c r="BD126" s="1">
        <f t="shared" si="95"/>
        <v>0</v>
      </c>
      <c r="BE126" s="1">
        <f t="shared" si="96"/>
        <v>0</v>
      </c>
      <c r="BF126" s="1">
        <f t="shared" si="97"/>
        <v>0</v>
      </c>
      <c r="BG126" s="1">
        <f t="shared" si="98"/>
        <v>0</v>
      </c>
      <c r="BH126" s="1">
        <f t="shared" si="99"/>
        <v>0</v>
      </c>
      <c r="BI126" s="1">
        <f t="shared" si="100"/>
        <v>0</v>
      </c>
      <c r="BJ126" s="1">
        <f t="shared" si="101"/>
        <v>0</v>
      </c>
      <c r="BK126" s="1">
        <f t="shared" si="102"/>
        <v>0</v>
      </c>
      <c r="BL126" s="1">
        <f t="shared" si="103"/>
        <v>0</v>
      </c>
      <c r="BM126" s="1">
        <f t="shared" si="104"/>
        <v>0</v>
      </c>
      <c r="BN126" s="1">
        <f t="shared" si="105"/>
        <v>0</v>
      </c>
      <c r="BO126" s="1">
        <f t="shared" si="106"/>
        <v>0</v>
      </c>
      <c r="BP126" s="1">
        <f t="shared" si="107"/>
        <v>0</v>
      </c>
      <c r="BQ126" s="1">
        <f t="shared" si="108"/>
        <v>0</v>
      </c>
      <c r="BR126" s="1">
        <f t="shared" si="109"/>
        <v>0</v>
      </c>
      <c r="BS126" s="1">
        <f t="shared" si="110"/>
        <v>0</v>
      </c>
      <c r="BT126" s="1">
        <f t="shared" si="111"/>
        <v>0</v>
      </c>
      <c r="BU126" s="1">
        <f t="shared" si="48"/>
        <v>0</v>
      </c>
      <c r="BV126" s="1">
        <f t="shared" si="112"/>
        <v>0</v>
      </c>
      <c r="BW126" s="1">
        <f t="shared" si="113"/>
        <v>0</v>
      </c>
      <c r="BX126" s="1">
        <f t="shared" si="114"/>
        <v>0</v>
      </c>
      <c r="BY126" s="1">
        <f t="shared" si="115"/>
        <v>0</v>
      </c>
      <c r="BZ126" s="1">
        <f t="shared" si="116"/>
        <v>0</v>
      </c>
      <c r="CA126" s="1">
        <f t="shared" si="117"/>
        <v>0</v>
      </c>
      <c r="CB126" s="1">
        <f t="shared" si="118"/>
        <v>0</v>
      </c>
      <c r="CC126" s="1">
        <f t="shared" si="119"/>
        <v>0</v>
      </c>
      <c r="CD126" s="1">
        <f t="shared" si="120"/>
        <v>0</v>
      </c>
      <c r="CE126" s="1"/>
      <c r="CH126" s="1" t="s">
        <v>59</v>
      </c>
      <c r="CI126" s="1">
        <v>0</v>
      </c>
      <c r="CJ126" s="1">
        <v>0</v>
      </c>
      <c r="CK126" s="1">
        <v>0</v>
      </c>
      <c r="CL126" s="1">
        <v>0</v>
      </c>
      <c r="CM126" s="1">
        <v>0</v>
      </c>
      <c r="CN126" s="1">
        <v>0</v>
      </c>
      <c r="CO126" s="1">
        <v>0</v>
      </c>
      <c r="CP126" s="1">
        <v>0</v>
      </c>
      <c r="CQ126" s="1">
        <v>0</v>
      </c>
      <c r="CR126" s="1">
        <v>0</v>
      </c>
      <c r="CS126" s="1">
        <v>0</v>
      </c>
      <c r="CT126" s="1">
        <v>0</v>
      </c>
      <c r="CU126" s="1">
        <v>0</v>
      </c>
      <c r="CV126" s="1">
        <v>0</v>
      </c>
      <c r="CW126" s="1">
        <v>0</v>
      </c>
      <c r="CX126" s="1">
        <v>0</v>
      </c>
      <c r="CY126" s="1">
        <v>0</v>
      </c>
      <c r="CZ126" s="1">
        <v>0</v>
      </c>
      <c r="DA126" s="1">
        <v>0</v>
      </c>
      <c r="DB126" s="1">
        <v>0</v>
      </c>
      <c r="DC126" s="1">
        <v>0</v>
      </c>
      <c r="DD126" s="1">
        <v>0</v>
      </c>
      <c r="DE126" s="1">
        <v>0</v>
      </c>
      <c r="DF126" s="1">
        <v>0</v>
      </c>
      <c r="DG126" s="1">
        <v>0</v>
      </c>
      <c r="DH126" s="1">
        <v>0</v>
      </c>
      <c r="DI126" s="1">
        <v>0</v>
      </c>
      <c r="DJ126" s="1">
        <v>0</v>
      </c>
      <c r="DK126" s="1">
        <v>0</v>
      </c>
      <c r="DL126" s="1">
        <v>0</v>
      </c>
      <c r="DM126" s="1">
        <v>0</v>
      </c>
      <c r="DN126" s="1">
        <v>0</v>
      </c>
      <c r="DO126" s="1">
        <v>0</v>
      </c>
      <c r="DP126" s="1">
        <v>0</v>
      </c>
      <c r="DQ126" s="1">
        <v>0</v>
      </c>
      <c r="DR126" s="1">
        <v>0</v>
      </c>
      <c r="DS126" s="1">
        <v>0</v>
      </c>
      <c r="DT126" s="1">
        <v>0</v>
      </c>
      <c r="DU126" s="1">
        <v>0</v>
      </c>
      <c r="DV126" s="1">
        <v>0</v>
      </c>
      <c r="DW126" s="1">
        <v>0</v>
      </c>
      <c r="DX126" s="1">
        <v>0</v>
      </c>
      <c r="DY126" s="1">
        <v>0</v>
      </c>
      <c r="DZ126" s="1">
        <v>0</v>
      </c>
      <c r="EA126" s="1">
        <v>57</v>
      </c>
      <c r="EB126" s="1">
        <v>0</v>
      </c>
      <c r="EC126" s="1">
        <v>0</v>
      </c>
      <c r="ED126" s="1">
        <v>0</v>
      </c>
      <c r="EE126" s="1">
        <v>0</v>
      </c>
      <c r="EF126" s="1">
        <v>0</v>
      </c>
      <c r="EG126" s="1">
        <v>0</v>
      </c>
      <c r="EH126" s="1">
        <v>0</v>
      </c>
      <c r="EI126" s="1">
        <v>0</v>
      </c>
      <c r="EJ126" s="1">
        <v>0</v>
      </c>
      <c r="EK126" s="1">
        <v>0</v>
      </c>
      <c r="EL126" s="1">
        <v>0</v>
      </c>
      <c r="EM126" s="1">
        <v>0</v>
      </c>
      <c r="EN126" s="1">
        <v>0</v>
      </c>
      <c r="EO126" s="1">
        <v>0</v>
      </c>
      <c r="EP126" s="1">
        <v>0</v>
      </c>
      <c r="EQ126" s="1">
        <v>0</v>
      </c>
      <c r="ER126" s="1">
        <v>0</v>
      </c>
      <c r="ES126" s="1">
        <v>0</v>
      </c>
      <c r="ET126" s="1">
        <v>0</v>
      </c>
      <c r="EU126" s="1">
        <v>0</v>
      </c>
      <c r="EV126" s="1">
        <v>0</v>
      </c>
      <c r="EW126" s="1">
        <v>0</v>
      </c>
      <c r="EX126" s="1">
        <v>0</v>
      </c>
      <c r="EY126" s="1">
        <v>0</v>
      </c>
      <c r="EZ126" s="1">
        <v>0</v>
      </c>
      <c r="FA126" s="1">
        <v>0</v>
      </c>
      <c r="FB126" s="1">
        <v>0</v>
      </c>
      <c r="FC126" s="1">
        <v>0</v>
      </c>
      <c r="FD126" s="1">
        <v>0</v>
      </c>
      <c r="FE126" s="1">
        <f t="shared" si="46"/>
        <v>57</v>
      </c>
      <c r="FF126" s="1">
        <f>DZ157</f>
        <v>49</v>
      </c>
      <c r="FG126" s="1">
        <f t="shared" si="47"/>
        <v>0</v>
      </c>
    </row>
    <row r="127" spans="8:163" ht="15.75" thickBot="1" x14ac:dyDescent="0.3">
      <c r="H127" s="1" t="s">
        <v>60</v>
      </c>
      <c r="I127" s="1">
        <f t="shared" si="45"/>
        <v>0</v>
      </c>
      <c r="J127" s="1">
        <f t="shared" si="49"/>
        <v>0</v>
      </c>
      <c r="K127" s="1">
        <f t="shared" si="50"/>
        <v>0</v>
      </c>
      <c r="L127" s="1">
        <f t="shared" si="51"/>
        <v>0</v>
      </c>
      <c r="M127" s="1">
        <f t="shared" si="52"/>
        <v>0</v>
      </c>
      <c r="N127" s="1">
        <f t="shared" si="53"/>
        <v>0</v>
      </c>
      <c r="O127" s="1">
        <f t="shared" si="54"/>
        <v>0</v>
      </c>
      <c r="P127" s="1">
        <f t="shared" si="55"/>
        <v>0</v>
      </c>
      <c r="Q127" s="1">
        <f t="shared" si="56"/>
        <v>0</v>
      </c>
      <c r="R127" s="1">
        <f t="shared" si="57"/>
        <v>0</v>
      </c>
      <c r="S127" s="1">
        <f t="shared" si="58"/>
        <v>0</v>
      </c>
      <c r="T127" s="1">
        <f t="shared" si="59"/>
        <v>0</v>
      </c>
      <c r="U127" s="1">
        <f t="shared" si="60"/>
        <v>0</v>
      </c>
      <c r="V127" s="1">
        <f t="shared" si="61"/>
        <v>0</v>
      </c>
      <c r="W127" s="1">
        <f t="shared" si="62"/>
        <v>0</v>
      </c>
      <c r="X127" s="1">
        <f t="shared" si="63"/>
        <v>0</v>
      </c>
      <c r="Y127" s="1">
        <f t="shared" si="64"/>
        <v>-8</v>
      </c>
      <c r="Z127" s="1">
        <f t="shared" si="65"/>
        <v>0</v>
      </c>
      <c r="AA127" s="1">
        <f t="shared" si="66"/>
        <v>0</v>
      </c>
      <c r="AB127" s="1">
        <f t="shared" si="67"/>
        <v>0</v>
      </c>
      <c r="AC127" s="1">
        <f t="shared" si="68"/>
        <v>0</v>
      </c>
      <c r="AD127" s="1">
        <f t="shared" si="69"/>
        <v>0</v>
      </c>
      <c r="AE127" s="1">
        <f t="shared" si="70"/>
        <v>0</v>
      </c>
      <c r="AF127" s="1">
        <f t="shared" si="71"/>
        <v>0</v>
      </c>
      <c r="AG127" s="1">
        <f t="shared" si="72"/>
        <v>0</v>
      </c>
      <c r="AH127" s="1">
        <f t="shared" si="73"/>
        <v>0</v>
      </c>
      <c r="AI127" s="1">
        <f t="shared" si="74"/>
        <v>0</v>
      </c>
      <c r="AJ127" s="1">
        <f t="shared" si="75"/>
        <v>0</v>
      </c>
      <c r="AK127" s="1">
        <f t="shared" si="76"/>
        <v>0</v>
      </c>
      <c r="AL127" s="1">
        <f t="shared" si="77"/>
        <v>0</v>
      </c>
      <c r="AM127" s="1">
        <f t="shared" si="78"/>
        <v>0</v>
      </c>
      <c r="AN127" s="1">
        <f t="shared" si="79"/>
        <v>0</v>
      </c>
      <c r="AO127" s="1">
        <f t="shared" si="80"/>
        <v>0</v>
      </c>
      <c r="AP127" s="1">
        <f t="shared" si="81"/>
        <v>0</v>
      </c>
      <c r="AQ127" s="1">
        <f t="shared" si="82"/>
        <v>0</v>
      </c>
      <c r="AR127" s="1">
        <f t="shared" si="83"/>
        <v>0</v>
      </c>
      <c r="AS127" s="1">
        <f t="shared" si="84"/>
        <v>0</v>
      </c>
      <c r="AT127" s="1">
        <f t="shared" si="85"/>
        <v>0</v>
      </c>
      <c r="AU127" s="1">
        <f t="shared" si="86"/>
        <v>0</v>
      </c>
      <c r="AV127" s="1">
        <f t="shared" si="87"/>
        <v>0</v>
      </c>
      <c r="AW127" s="1">
        <f t="shared" si="88"/>
        <v>0</v>
      </c>
      <c r="AX127" s="1">
        <f t="shared" si="89"/>
        <v>0</v>
      </c>
      <c r="AY127" s="1">
        <f t="shared" si="90"/>
        <v>0</v>
      </c>
      <c r="AZ127" s="1">
        <f t="shared" si="91"/>
        <v>0</v>
      </c>
      <c r="BA127" s="1">
        <f t="shared" si="92"/>
        <v>0</v>
      </c>
      <c r="BB127" s="1">
        <f t="shared" si="93"/>
        <v>0</v>
      </c>
      <c r="BC127" s="1">
        <f t="shared" si="94"/>
        <v>0</v>
      </c>
      <c r="BD127" s="1">
        <f t="shared" si="95"/>
        <v>0</v>
      </c>
      <c r="BE127" s="1">
        <f t="shared" si="96"/>
        <v>0</v>
      </c>
      <c r="BF127" s="1">
        <f t="shared" si="97"/>
        <v>0</v>
      </c>
      <c r="BG127" s="1">
        <f t="shared" si="98"/>
        <v>0</v>
      </c>
      <c r="BH127" s="1">
        <f t="shared" si="99"/>
        <v>0</v>
      </c>
      <c r="BI127" s="1">
        <f t="shared" si="100"/>
        <v>0</v>
      </c>
      <c r="BJ127" s="1">
        <f t="shared" si="101"/>
        <v>0</v>
      </c>
      <c r="BK127" s="1">
        <f t="shared" si="102"/>
        <v>0</v>
      </c>
      <c r="BL127" s="1">
        <f t="shared" si="103"/>
        <v>0</v>
      </c>
      <c r="BM127" s="1">
        <f t="shared" si="104"/>
        <v>0</v>
      </c>
      <c r="BN127" s="1">
        <f t="shared" si="105"/>
        <v>0</v>
      </c>
      <c r="BO127" s="1">
        <f t="shared" si="106"/>
        <v>0</v>
      </c>
      <c r="BP127" s="1">
        <f t="shared" si="107"/>
        <v>0</v>
      </c>
      <c r="BQ127" s="1">
        <f t="shared" si="108"/>
        <v>0</v>
      </c>
      <c r="BR127" s="1">
        <f t="shared" si="109"/>
        <v>0</v>
      </c>
      <c r="BS127" s="1">
        <f t="shared" si="110"/>
        <v>0</v>
      </c>
      <c r="BT127" s="1">
        <f t="shared" si="111"/>
        <v>0</v>
      </c>
      <c r="BU127" s="1">
        <f t="shared" si="48"/>
        <v>0</v>
      </c>
      <c r="BV127" s="1">
        <f t="shared" si="112"/>
        <v>0</v>
      </c>
      <c r="BW127" s="1">
        <f t="shared" si="113"/>
        <v>0</v>
      </c>
      <c r="BX127" s="1">
        <f t="shared" si="114"/>
        <v>0</v>
      </c>
      <c r="BY127" s="1">
        <f t="shared" si="115"/>
        <v>0</v>
      </c>
      <c r="BZ127" s="1">
        <f t="shared" si="116"/>
        <v>0</v>
      </c>
      <c r="CA127" s="1">
        <f t="shared" si="117"/>
        <v>0</v>
      </c>
      <c r="CB127" s="1">
        <f t="shared" si="118"/>
        <v>0</v>
      </c>
      <c r="CC127" s="1">
        <f t="shared" si="119"/>
        <v>0</v>
      </c>
      <c r="CD127" s="1">
        <f t="shared" si="120"/>
        <v>0</v>
      </c>
      <c r="CE127" s="1"/>
      <c r="CH127" s="1" t="s">
        <v>60</v>
      </c>
      <c r="CI127" s="1">
        <v>0</v>
      </c>
      <c r="CJ127" s="1">
        <v>0</v>
      </c>
      <c r="CK127" s="1">
        <v>0</v>
      </c>
      <c r="CL127" s="1">
        <v>0</v>
      </c>
      <c r="CM127" s="1">
        <v>0</v>
      </c>
      <c r="CN127" s="1">
        <v>0</v>
      </c>
      <c r="CO127" s="1">
        <v>0</v>
      </c>
      <c r="CP127" s="1">
        <v>0</v>
      </c>
      <c r="CQ127" s="1">
        <v>0</v>
      </c>
      <c r="CR127" s="1">
        <v>0</v>
      </c>
      <c r="CS127" s="1">
        <v>0</v>
      </c>
      <c r="CT127" s="1">
        <v>0</v>
      </c>
      <c r="CU127" s="1">
        <v>0</v>
      </c>
      <c r="CV127" s="1">
        <v>0</v>
      </c>
      <c r="CW127" s="1">
        <v>0</v>
      </c>
      <c r="CX127" s="1">
        <v>0</v>
      </c>
      <c r="CY127" s="1">
        <v>62</v>
      </c>
      <c r="CZ127" s="1">
        <v>0</v>
      </c>
      <c r="DA127" s="1">
        <v>0</v>
      </c>
      <c r="DB127" s="1">
        <v>0</v>
      </c>
      <c r="DC127" s="1">
        <v>0</v>
      </c>
      <c r="DD127" s="1">
        <v>0</v>
      </c>
      <c r="DE127" s="1">
        <v>0</v>
      </c>
      <c r="DF127" s="1">
        <v>0</v>
      </c>
      <c r="DG127" s="1">
        <v>0</v>
      </c>
      <c r="DH127" s="1">
        <v>0</v>
      </c>
      <c r="DI127" s="1">
        <v>0</v>
      </c>
      <c r="DJ127" s="1">
        <v>0</v>
      </c>
      <c r="DK127" s="1">
        <v>0</v>
      </c>
      <c r="DL127" s="1">
        <v>0</v>
      </c>
      <c r="DM127" s="1">
        <v>0</v>
      </c>
      <c r="DN127" s="1">
        <v>0</v>
      </c>
      <c r="DO127" s="1">
        <v>0</v>
      </c>
      <c r="DP127" s="1">
        <v>0</v>
      </c>
      <c r="DQ127" s="1">
        <v>0</v>
      </c>
      <c r="DR127" s="1">
        <v>0</v>
      </c>
      <c r="DS127" s="1">
        <v>0</v>
      </c>
      <c r="DT127" s="1">
        <v>0</v>
      </c>
      <c r="DU127" s="1">
        <v>0</v>
      </c>
      <c r="DV127" s="1">
        <v>0</v>
      </c>
      <c r="DW127" s="1">
        <v>0</v>
      </c>
      <c r="DX127" s="1">
        <v>0</v>
      </c>
      <c r="DY127" s="1">
        <v>0</v>
      </c>
      <c r="DZ127" s="1">
        <v>0</v>
      </c>
      <c r="EA127" s="1">
        <v>0</v>
      </c>
      <c r="EB127" s="1">
        <v>0</v>
      </c>
      <c r="EC127" s="1">
        <v>0</v>
      </c>
      <c r="ED127" s="1">
        <v>0</v>
      </c>
      <c r="EE127" s="1">
        <v>0</v>
      </c>
      <c r="EF127" s="1">
        <v>0</v>
      </c>
      <c r="EG127" s="1">
        <v>0</v>
      </c>
      <c r="EH127" s="1">
        <v>0</v>
      </c>
      <c r="EI127" s="1">
        <v>0</v>
      </c>
      <c r="EJ127" s="1">
        <v>0</v>
      </c>
      <c r="EK127" s="1">
        <v>0</v>
      </c>
      <c r="EL127" s="1">
        <v>0</v>
      </c>
      <c r="EM127" s="1">
        <v>0</v>
      </c>
      <c r="EN127" s="1">
        <v>0</v>
      </c>
      <c r="EO127" s="1">
        <v>0</v>
      </c>
      <c r="EP127" s="1">
        <v>0</v>
      </c>
      <c r="EQ127" s="1">
        <v>0</v>
      </c>
      <c r="ER127" s="1">
        <v>0</v>
      </c>
      <c r="ES127" s="1">
        <v>0</v>
      </c>
      <c r="ET127" s="1">
        <v>0</v>
      </c>
      <c r="EU127" s="1">
        <v>0</v>
      </c>
      <c r="EV127" s="1">
        <v>0</v>
      </c>
      <c r="EW127" s="1">
        <v>0</v>
      </c>
      <c r="EX127" s="1">
        <v>0</v>
      </c>
      <c r="EY127" s="1">
        <v>0</v>
      </c>
      <c r="EZ127" s="1">
        <v>0</v>
      </c>
      <c r="FA127" s="1">
        <v>0</v>
      </c>
      <c r="FB127" s="1">
        <v>0</v>
      </c>
      <c r="FC127" s="1">
        <v>0</v>
      </c>
      <c r="FD127" s="1">
        <v>0</v>
      </c>
      <c r="FE127" s="1">
        <f t="shared" si="46"/>
        <v>62</v>
      </c>
      <c r="FF127" s="1">
        <f>EA157</f>
        <v>57</v>
      </c>
      <c r="FG127" s="1">
        <f t="shared" si="47"/>
        <v>0</v>
      </c>
    </row>
    <row r="128" spans="8:163" ht="15.75" thickBot="1" x14ac:dyDescent="0.3">
      <c r="H128" s="1" t="s">
        <v>61</v>
      </c>
      <c r="I128" s="1">
        <f t="shared" si="45"/>
        <v>0</v>
      </c>
      <c r="J128" s="1">
        <f t="shared" si="49"/>
        <v>0</v>
      </c>
      <c r="K128" s="1">
        <f t="shared" si="50"/>
        <v>0</v>
      </c>
      <c r="L128" s="1">
        <f t="shared" si="51"/>
        <v>0</v>
      </c>
      <c r="M128" s="1">
        <f t="shared" si="52"/>
        <v>0</v>
      </c>
      <c r="N128" s="1">
        <f t="shared" si="53"/>
        <v>0</v>
      </c>
      <c r="O128" s="1">
        <f t="shared" si="54"/>
        <v>0</v>
      </c>
      <c r="P128" s="1">
        <f t="shared" si="55"/>
        <v>0</v>
      </c>
      <c r="Q128" s="1">
        <f t="shared" si="56"/>
        <v>0</v>
      </c>
      <c r="R128" s="1">
        <f t="shared" si="57"/>
        <v>0</v>
      </c>
      <c r="S128" s="1">
        <f t="shared" si="58"/>
        <v>0</v>
      </c>
      <c r="T128" s="1">
        <f t="shared" si="59"/>
        <v>0</v>
      </c>
      <c r="U128" s="1">
        <f t="shared" si="60"/>
        <v>0</v>
      </c>
      <c r="V128" s="1">
        <f t="shared" si="61"/>
        <v>0</v>
      </c>
      <c r="W128" s="1">
        <f t="shared" si="62"/>
        <v>0</v>
      </c>
      <c r="X128" s="1">
        <f t="shared" si="63"/>
        <v>0</v>
      </c>
      <c r="Y128" s="1">
        <f t="shared" si="64"/>
        <v>0</v>
      </c>
      <c r="Z128" s="1">
        <f t="shared" si="65"/>
        <v>0</v>
      </c>
      <c r="AA128" s="1">
        <f t="shared" si="66"/>
        <v>0</v>
      </c>
      <c r="AB128" s="1">
        <f t="shared" si="67"/>
        <v>0</v>
      </c>
      <c r="AC128" s="1">
        <f t="shared" si="68"/>
        <v>0</v>
      </c>
      <c r="AD128" s="1">
        <f t="shared" si="69"/>
        <v>0</v>
      </c>
      <c r="AE128" s="1">
        <f t="shared" si="70"/>
        <v>0</v>
      </c>
      <c r="AF128" s="1">
        <f t="shared" si="71"/>
        <v>0</v>
      </c>
      <c r="AG128" s="1">
        <f t="shared" si="72"/>
        <v>0</v>
      </c>
      <c r="AH128" s="1">
        <f t="shared" si="73"/>
        <v>0</v>
      </c>
      <c r="AI128" s="1">
        <f t="shared" si="74"/>
        <v>0</v>
      </c>
      <c r="AJ128" s="1">
        <f t="shared" si="75"/>
        <v>0</v>
      </c>
      <c r="AK128" s="1">
        <f t="shared" si="76"/>
        <v>0</v>
      </c>
      <c r="AL128" s="1">
        <f t="shared" si="77"/>
        <v>0</v>
      </c>
      <c r="AM128" s="1">
        <f t="shared" si="78"/>
        <v>0</v>
      </c>
      <c r="AN128" s="1">
        <f t="shared" si="79"/>
        <v>0</v>
      </c>
      <c r="AO128" s="1">
        <f t="shared" si="80"/>
        <v>0</v>
      </c>
      <c r="AP128" s="1">
        <f t="shared" si="81"/>
        <v>0</v>
      </c>
      <c r="AQ128" s="1">
        <f t="shared" si="82"/>
        <v>0</v>
      </c>
      <c r="AR128" s="1">
        <f t="shared" si="83"/>
        <v>0</v>
      </c>
      <c r="AS128" s="1">
        <f t="shared" si="84"/>
        <v>0</v>
      </c>
      <c r="AT128" s="1">
        <f t="shared" si="85"/>
        <v>0</v>
      </c>
      <c r="AU128" s="1">
        <f t="shared" si="86"/>
        <v>0</v>
      </c>
      <c r="AV128" s="1">
        <f t="shared" si="87"/>
        <v>0</v>
      </c>
      <c r="AW128" s="1">
        <f t="shared" si="88"/>
        <v>0</v>
      </c>
      <c r="AX128" s="1">
        <f t="shared" si="89"/>
        <v>0</v>
      </c>
      <c r="AY128" s="1">
        <f t="shared" si="90"/>
        <v>0</v>
      </c>
      <c r="AZ128" s="1">
        <f t="shared" si="91"/>
        <v>-21</v>
      </c>
      <c r="BA128" s="1">
        <f t="shared" si="92"/>
        <v>0</v>
      </c>
      <c r="BB128" s="1">
        <f t="shared" si="93"/>
        <v>0</v>
      </c>
      <c r="BC128" s="1">
        <f t="shared" si="94"/>
        <v>0</v>
      </c>
      <c r="BD128" s="1">
        <f t="shared" si="95"/>
        <v>0</v>
      </c>
      <c r="BE128" s="1">
        <f t="shared" si="96"/>
        <v>0</v>
      </c>
      <c r="BF128" s="1">
        <f t="shared" si="97"/>
        <v>0</v>
      </c>
      <c r="BG128" s="1">
        <f t="shared" si="98"/>
        <v>0</v>
      </c>
      <c r="BH128" s="1">
        <f t="shared" si="99"/>
        <v>0</v>
      </c>
      <c r="BI128" s="1">
        <f t="shared" si="100"/>
        <v>0</v>
      </c>
      <c r="BJ128" s="1">
        <f t="shared" si="101"/>
        <v>0</v>
      </c>
      <c r="BK128" s="1">
        <f t="shared" si="102"/>
        <v>0</v>
      </c>
      <c r="BL128" s="1">
        <f t="shared" si="103"/>
        <v>0</v>
      </c>
      <c r="BM128" s="1">
        <f t="shared" si="104"/>
        <v>0</v>
      </c>
      <c r="BN128" s="1">
        <f t="shared" si="105"/>
        <v>0</v>
      </c>
      <c r="BO128" s="1">
        <f t="shared" si="106"/>
        <v>0</v>
      </c>
      <c r="BP128" s="1">
        <f t="shared" si="107"/>
        <v>0</v>
      </c>
      <c r="BQ128" s="1">
        <f t="shared" si="108"/>
        <v>0</v>
      </c>
      <c r="BR128" s="1">
        <f t="shared" si="109"/>
        <v>0</v>
      </c>
      <c r="BS128" s="1">
        <f t="shared" si="110"/>
        <v>0</v>
      </c>
      <c r="BT128" s="1">
        <f t="shared" si="111"/>
        <v>0</v>
      </c>
      <c r="BU128" s="1">
        <f t="shared" si="48"/>
        <v>0</v>
      </c>
      <c r="BV128" s="1">
        <f t="shared" si="112"/>
        <v>0</v>
      </c>
      <c r="BW128" s="1">
        <f t="shared" si="113"/>
        <v>0</v>
      </c>
      <c r="BX128" s="1">
        <f t="shared" si="114"/>
        <v>0</v>
      </c>
      <c r="BY128" s="1">
        <f t="shared" si="115"/>
        <v>0</v>
      </c>
      <c r="BZ128" s="1">
        <f t="shared" si="116"/>
        <v>0</v>
      </c>
      <c r="CA128" s="1">
        <f t="shared" si="117"/>
        <v>0</v>
      </c>
      <c r="CB128" s="1">
        <f t="shared" si="118"/>
        <v>0</v>
      </c>
      <c r="CC128" s="1">
        <f t="shared" si="119"/>
        <v>0</v>
      </c>
      <c r="CD128" s="1">
        <f t="shared" si="120"/>
        <v>0</v>
      </c>
      <c r="CE128" s="1"/>
      <c r="CH128" s="1" t="s">
        <v>61</v>
      </c>
      <c r="CI128" s="1">
        <v>0</v>
      </c>
      <c r="CJ128" s="1">
        <v>0</v>
      </c>
      <c r="CK128" s="1">
        <v>0</v>
      </c>
      <c r="CL128" s="1">
        <v>0</v>
      </c>
      <c r="CM128" s="1">
        <v>0</v>
      </c>
      <c r="CN128" s="1">
        <v>0</v>
      </c>
      <c r="CO128" s="1">
        <v>0</v>
      </c>
      <c r="CP128" s="1">
        <v>0</v>
      </c>
      <c r="CQ128" s="1">
        <v>0</v>
      </c>
      <c r="CR128" s="1">
        <v>0</v>
      </c>
      <c r="CS128" s="1">
        <v>0</v>
      </c>
      <c r="CT128" s="1">
        <v>0</v>
      </c>
      <c r="CU128" s="1">
        <v>0</v>
      </c>
      <c r="CV128" s="1">
        <v>0</v>
      </c>
      <c r="CW128" s="1">
        <v>0</v>
      </c>
      <c r="CX128" s="1">
        <v>0</v>
      </c>
      <c r="CY128" s="1">
        <v>0</v>
      </c>
      <c r="CZ128" s="1">
        <v>0</v>
      </c>
      <c r="DA128" s="1">
        <v>0</v>
      </c>
      <c r="DB128" s="1">
        <v>0</v>
      </c>
      <c r="DC128" s="1">
        <v>0</v>
      </c>
      <c r="DD128" s="1">
        <v>0</v>
      </c>
      <c r="DE128" s="1">
        <v>0</v>
      </c>
      <c r="DF128" s="1">
        <v>0</v>
      </c>
      <c r="DG128" s="1">
        <v>0</v>
      </c>
      <c r="DH128" s="1">
        <v>0</v>
      </c>
      <c r="DI128" s="1">
        <v>0</v>
      </c>
      <c r="DJ128" s="1">
        <v>0</v>
      </c>
      <c r="DK128" s="1">
        <v>0</v>
      </c>
      <c r="DL128" s="1">
        <v>0</v>
      </c>
      <c r="DM128" s="1">
        <v>0</v>
      </c>
      <c r="DN128" s="1">
        <v>0</v>
      </c>
      <c r="DO128" s="1">
        <v>0</v>
      </c>
      <c r="DP128" s="1">
        <v>0</v>
      </c>
      <c r="DQ128" s="1">
        <v>0</v>
      </c>
      <c r="DR128" s="1">
        <v>0</v>
      </c>
      <c r="DS128" s="1">
        <v>0</v>
      </c>
      <c r="DT128" s="1">
        <v>0</v>
      </c>
      <c r="DU128" s="1">
        <v>0</v>
      </c>
      <c r="DV128" s="1">
        <v>0</v>
      </c>
      <c r="DW128" s="1">
        <v>0</v>
      </c>
      <c r="DX128" s="1">
        <v>0</v>
      </c>
      <c r="DY128" s="1">
        <v>0</v>
      </c>
      <c r="DZ128" s="1">
        <v>49</v>
      </c>
      <c r="EA128" s="1">
        <v>0</v>
      </c>
      <c r="EB128" s="1">
        <v>0</v>
      </c>
      <c r="EC128" s="1">
        <v>0</v>
      </c>
      <c r="ED128" s="1">
        <v>0</v>
      </c>
      <c r="EE128" s="1">
        <v>0</v>
      </c>
      <c r="EF128" s="1">
        <v>0</v>
      </c>
      <c r="EG128" s="1">
        <v>0</v>
      </c>
      <c r="EH128" s="1">
        <v>0</v>
      </c>
      <c r="EI128" s="1">
        <v>0</v>
      </c>
      <c r="EJ128" s="1">
        <v>0</v>
      </c>
      <c r="EK128" s="1">
        <v>0</v>
      </c>
      <c r="EL128" s="1">
        <v>0</v>
      </c>
      <c r="EM128" s="1">
        <v>0</v>
      </c>
      <c r="EN128" s="1">
        <v>0</v>
      </c>
      <c r="EO128" s="1">
        <v>0</v>
      </c>
      <c r="EP128" s="1">
        <v>0</v>
      </c>
      <c r="EQ128" s="1">
        <v>0</v>
      </c>
      <c r="ER128" s="1">
        <v>0</v>
      </c>
      <c r="ES128" s="1">
        <v>0</v>
      </c>
      <c r="ET128" s="1">
        <v>0</v>
      </c>
      <c r="EU128" s="1">
        <v>0</v>
      </c>
      <c r="EV128" s="1">
        <v>0</v>
      </c>
      <c r="EW128" s="1">
        <v>0</v>
      </c>
      <c r="EX128" s="1">
        <v>0</v>
      </c>
      <c r="EY128" s="1">
        <v>0</v>
      </c>
      <c r="EZ128" s="1">
        <v>0</v>
      </c>
      <c r="FA128" s="1">
        <v>0</v>
      </c>
      <c r="FB128" s="1">
        <v>0</v>
      </c>
      <c r="FC128" s="1">
        <v>0</v>
      </c>
      <c r="FD128" s="1">
        <v>0</v>
      </c>
      <c r="FE128" s="1">
        <f t="shared" si="46"/>
        <v>49</v>
      </c>
      <c r="FF128" s="1">
        <f>EB157</f>
        <v>41</v>
      </c>
      <c r="FG128" s="1">
        <f t="shared" si="47"/>
        <v>0</v>
      </c>
    </row>
    <row r="129" spans="8:163" ht="15.75" thickBot="1" x14ac:dyDescent="0.3">
      <c r="H129" s="1" t="s">
        <v>62</v>
      </c>
      <c r="I129" s="1">
        <f t="shared" si="45"/>
        <v>0</v>
      </c>
      <c r="J129" s="1">
        <f t="shared" si="49"/>
        <v>0</v>
      </c>
      <c r="K129" s="1">
        <f t="shared" si="50"/>
        <v>0</v>
      </c>
      <c r="L129" s="1">
        <f t="shared" si="51"/>
        <v>0</v>
      </c>
      <c r="M129" s="1">
        <f t="shared" si="52"/>
        <v>0</v>
      </c>
      <c r="N129" s="1">
        <f t="shared" si="53"/>
        <v>0</v>
      </c>
      <c r="O129" s="1">
        <f t="shared" si="54"/>
        <v>0</v>
      </c>
      <c r="P129" s="1">
        <f t="shared" si="55"/>
        <v>0</v>
      </c>
      <c r="Q129" s="1">
        <f t="shared" si="56"/>
        <v>0</v>
      </c>
      <c r="R129" s="1">
        <f t="shared" si="57"/>
        <v>0</v>
      </c>
      <c r="S129" s="1">
        <f t="shared" si="58"/>
        <v>0</v>
      </c>
      <c r="T129" s="1">
        <f t="shared" si="59"/>
        <v>0</v>
      </c>
      <c r="U129" s="1">
        <f t="shared" si="60"/>
        <v>0</v>
      </c>
      <c r="V129" s="1">
        <f t="shared" si="61"/>
        <v>0</v>
      </c>
      <c r="W129" s="1">
        <f t="shared" si="62"/>
        <v>0</v>
      </c>
      <c r="X129" s="1">
        <f t="shared" si="63"/>
        <v>0</v>
      </c>
      <c r="Y129" s="1">
        <f t="shared" si="64"/>
        <v>0</v>
      </c>
      <c r="Z129" s="1">
        <f t="shared" si="65"/>
        <v>0</v>
      </c>
      <c r="AA129" s="1">
        <f t="shared" si="66"/>
        <v>0</v>
      </c>
      <c r="AB129" s="1">
        <f t="shared" si="67"/>
        <v>0</v>
      </c>
      <c r="AC129" s="1">
        <f t="shared" si="68"/>
        <v>0</v>
      </c>
      <c r="AD129" s="1">
        <f t="shared" si="69"/>
        <v>0</v>
      </c>
      <c r="AE129" s="1">
        <f t="shared" si="70"/>
        <v>0</v>
      </c>
      <c r="AF129" s="1">
        <f t="shared" si="71"/>
        <v>0</v>
      </c>
      <c r="AG129" s="1">
        <f t="shared" si="72"/>
        <v>0</v>
      </c>
      <c r="AH129" s="1">
        <f t="shared" si="73"/>
        <v>0</v>
      </c>
      <c r="AI129" s="1">
        <f t="shared" si="74"/>
        <v>0</v>
      </c>
      <c r="AJ129" s="1">
        <f t="shared" si="75"/>
        <v>0</v>
      </c>
      <c r="AK129" s="1">
        <f t="shared" si="76"/>
        <v>0</v>
      </c>
      <c r="AL129" s="1">
        <f t="shared" si="77"/>
        <v>0</v>
      </c>
      <c r="AM129" s="1">
        <f t="shared" si="78"/>
        <v>0</v>
      </c>
      <c r="AN129" s="1">
        <f t="shared" si="79"/>
        <v>-47</v>
      </c>
      <c r="AO129" s="1">
        <f t="shared" si="80"/>
        <v>0</v>
      </c>
      <c r="AP129" s="1">
        <f t="shared" si="81"/>
        <v>0</v>
      </c>
      <c r="AQ129" s="1">
        <f t="shared" si="82"/>
        <v>0</v>
      </c>
      <c r="AR129" s="1">
        <f t="shared" si="83"/>
        <v>0</v>
      </c>
      <c r="AS129" s="1">
        <f t="shared" si="84"/>
        <v>0</v>
      </c>
      <c r="AT129" s="1">
        <f t="shared" si="85"/>
        <v>0</v>
      </c>
      <c r="AU129" s="1">
        <f t="shared" si="86"/>
        <v>0</v>
      </c>
      <c r="AV129" s="1">
        <f t="shared" si="87"/>
        <v>0</v>
      </c>
      <c r="AW129" s="1">
        <f t="shared" si="88"/>
        <v>0</v>
      </c>
      <c r="AX129" s="1">
        <f t="shared" si="89"/>
        <v>0</v>
      </c>
      <c r="AY129" s="1">
        <f t="shared" si="90"/>
        <v>0</v>
      </c>
      <c r="AZ129" s="1">
        <f t="shared" si="91"/>
        <v>0</v>
      </c>
      <c r="BA129" s="1">
        <f t="shared" si="92"/>
        <v>0</v>
      </c>
      <c r="BB129" s="1">
        <f t="shared" si="93"/>
        <v>0</v>
      </c>
      <c r="BC129" s="1">
        <f t="shared" si="94"/>
        <v>0</v>
      </c>
      <c r="BD129" s="1">
        <f t="shared" si="95"/>
        <v>0</v>
      </c>
      <c r="BE129" s="1">
        <f t="shared" si="96"/>
        <v>0</v>
      </c>
      <c r="BF129" s="1">
        <f t="shared" si="97"/>
        <v>0</v>
      </c>
      <c r="BG129" s="1">
        <f t="shared" si="98"/>
        <v>0</v>
      </c>
      <c r="BH129" s="1">
        <f t="shared" si="99"/>
        <v>0</v>
      </c>
      <c r="BI129" s="1">
        <f t="shared" si="100"/>
        <v>0</v>
      </c>
      <c r="BJ129" s="1">
        <f t="shared" si="101"/>
        <v>0</v>
      </c>
      <c r="BK129" s="1">
        <f t="shared" si="102"/>
        <v>0</v>
      </c>
      <c r="BL129" s="1">
        <f t="shared" si="103"/>
        <v>0</v>
      </c>
      <c r="BM129" s="1">
        <f t="shared" si="104"/>
        <v>0</v>
      </c>
      <c r="BN129" s="1">
        <f t="shared" si="105"/>
        <v>0</v>
      </c>
      <c r="BO129" s="1">
        <f t="shared" si="106"/>
        <v>0</v>
      </c>
      <c r="BP129" s="1">
        <f t="shared" si="107"/>
        <v>0</v>
      </c>
      <c r="BQ129" s="1">
        <f t="shared" si="108"/>
        <v>0</v>
      </c>
      <c r="BR129" s="1">
        <f t="shared" si="109"/>
        <v>0</v>
      </c>
      <c r="BS129" s="1">
        <f t="shared" si="110"/>
        <v>0</v>
      </c>
      <c r="BT129" s="1">
        <f t="shared" si="111"/>
        <v>0</v>
      </c>
      <c r="BU129" s="1">
        <f t="shared" si="48"/>
        <v>0</v>
      </c>
      <c r="BV129" s="1">
        <f t="shared" si="112"/>
        <v>0</v>
      </c>
      <c r="BW129" s="1">
        <f t="shared" si="113"/>
        <v>0</v>
      </c>
      <c r="BX129" s="1">
        <f t="shared" si="114"/>
        <v>0</v>
      </c>
      <c r="BY129" s="1">
        <f t="shared" si="115"/>
        <v>0</v>
      </c>
      <c r="BZ129" s="1">
        <f t="shared" si="116"/>
        <v>0</v>
      </c>
      <c r="CA129" s="1">
        <f t="shared" si="117"/>
        <v>0</v>
      </c>
      <c r="CB129" s="1">
        <f t="shared" si="118"/>
        <v>0</v>
      </c>
      <c r="CC129" s="1">
        <f t="shared" si="119"/>
        <v>0</v>
      </c>
      <c r="CD129" s="1">
        <f t="shared" si="120"/>
        <v>0</v>
      </c>
      <c r="CE129" s="1"/>
      <c r="CH129" s="1" t="s">
        <v>62</v>
      </c>
      <c r="CI129" s="1">
        <v>0</v>
      </c>
      <c r="CJ129" s="1">
        <v>0</v>
      </c>
      <c r="CK129" s="1">
        <v>0</v>
      </c>
      <c r="CL129" s="1">
        <v>0</v>
      </c>
      <c r="CM129" s="1">
        <v>0</v>
      </c>
      <c r="CN129" s="1">
        <v>0</v>
      </c>
      <c r="CO129" s="1">
        <v>0</v>
      </c>
      <c r="CP129" s="1">
        <v>0</v>
      </c>
      <c r="CQ129" s="1">
        <v>0</v>
      </c>
      <c r="CR129" s="1">
        <v>0</v>
      </c>
      <c r="CS129" s="1">
        <v>0</v>
      </c>
      <c r="CT129" s="1">
        <v>0</v>
      </c>
      <c r="CU129" s="1">
        <v>0</v>
      </c>
      <c r="CV129" s="1">
        <v>0</v>
      </c>
      <c r="CW129" s="1">
        <v>0</v>
      </c>
      <c r="CX129" s="1">
        <v>0</v>
      </c>
      <c r="CY129" s="1">
        <v>0</v>
      </c>
      <c r="CZ129" s="1">
        <v>0</v>
      </c>
      <c r="DA129" s="1">
        <v>0</v>
      </c>
      <c r="DB129" s="1">
        <v>0</v>
      </c>
      <c r="DC129" s="1">
        <v>0</v>
      </c>
      <c r="DD129" s="1">
        <v>0</v>
      </c>
      <c r="DE129" s="1">
        <v>0</v>
      </c>
      <c r="DF129" s="1">
        <v>0</v>
      </c>
      <c r="DG129" s="1">
        <v>0</v>
      </c>
      <c r="DH129" s="1">
        <v>0</v>
      </c>
      <c r="DI129" s="1">
        <v>0</v>
      </c>
      <c r="DJ129" s="1">
        <v>0</v>
      </c>
      <c r="DK129" s="1">
        <v>0</v>
      </c>
      <c r="DL129" s="1">
        <v>0</v>
      </c>
      <c r="DM129" s="1">
        <v>0</v>
      </c>
      <c r="DN129" s="1">
        <v>23</v>
      </c>
      <c r="DO129" s="1">
        <v>0</v>
      </c>
      <c r="DP129" s="1">
        <v>0</v>
      </c>
      <c r="DQ129" s="1">
        <v>0</v>
      </c>
      <c r="DR129" s="1">
        <v>0</v>
      </c>
      <c r="DS129" s="1">
        <v>0</v>
      </c>
      <c r="DT129" s="1">
        <v>0</v>
      </c>
      <c r="DU129" s="1">
        <v>0</v>
      </c>
      <c r="DV129" s="1">
        <v>0</v>
      </c>
      <c r="DW129" s="1">
        <v>0</v>
      </c>
      <c r="DX129" s="1">
        <v>0</v>
      </c>
      <c r="DY129" s="1">
        <v>0</v>
      </c>
      <c r="DZ129" s="1">
        <v>0</v>
      </c>
      <c r="EA129" s="1">
        <v>0</v>
      </c>
      <c r="EB129" s="1">
        <v>0</v>
      </c>
      <c r="EC129" s="1">
        <v>0</v>
      </c>
      <c r="ED129" s="1">
        <v>0</v>
      </c>
      <c r="EE129" s="1">
        <v>0</v>
      </c>
      <c r="EF129" s="1">
        <v>0</v>
      </c>
      <c r="EG129" s="1">
        <v>0</v>
      </c>
      <c r="EH129" s="1">
        <v>0</v>
      </c>
      <c r="EI129" s="1">
        <v>0</v>
      </c>
      <c r="EJ129" s="1">
        <v>0</v>
      </c>
      <c r="EK129" s="1">
        <v>0</v>
      </c>
      <c r="EL129" s="1">
        <v>0</v>
      </c>
      <c r="EM129" s="1">
        <v>0</v>
      </c>
      <c r="EN129" s="1">
        <v>0</v>
      </c>
      <c r="EO129" s="1">
        <v>0</v>
      </c>
      <c r="EP129" s="1">
        <v>0</v>
      </c>
      <c r="EQ129" s="1">
        <v>0</v>
      </c>
      <c r="ER129" s="1">
        <v>0</v>
      </c>
      <c r="ES129" s="1">
        <v>0</v>
      </c>
      <c r="ET129" s="1">
        <v>0</v>
      </c>
      <c r="EU129" s="1">
        <v>0</v>
      </c>
      <c r="EV129" s="1">
        <v>0</v>
      </c>
      <c r="EW129" s="1">
        <v>0</v>
      </c>
      <c r="EX129" s="1">
        <v>0</v>
      </c>
      <c r="EY129" s="1">
        <v>0</v>
      </c>
      <c r="EZ129" s="1">
        <v>0</v>
      </c>
      <c r="FA129" s="1">
        <v>0</v>
      </c>
      <c r="FB129" s="1">
        <v>0</v>
      </c>
      <c r="FC129" s="1">
        <v>0</v>
      </c>
      <c r="FD129" s="1">
        <v>0</v>
      </c>
      <c r="FE129" s="1">
        <f t="shared" si="46"/>
        <v>23</v>
      </c>
      <c r="FF129" s="1">
        <f>EC157</f>
        <v>14</v>
      </c>
      <c r="FG129" s="1">
        <f t="shared" si="47"/>
        <v>0</v>
      </c>
    </row>
    <row r="130" spans="8:163" ht="15.75" thickBot="1" x14ac:dyDescent="0.3">
      <c r="H130" s="1" t="s">
        <v>63</v>
      </c>
      <c r="I130" s="1">
        <f t="shared" si="45"/>
        <v>0</v>
      </c>
      <c r="J130" s="1">
        <f t="shared" si="49"/>
        <v>0</v>
      </c>
      <c r="K130" s="1">
        <f t="shared" si="50"/>
        <v>0</v>
      </c>
      <c r="L130" s="1">
        <f t="shared" si="51"/>
        <v>0</v>
      </c>
      <c r="M130" s="1">
        <f t="shared" si="52"/>
        <v>0</v>
      </c>
      <c r="N130" s="1">
        <f t="shared" si="53"/>
        <v>0</v>
      </c>
      <c r="O130" s="1">
        <f t="shared" si="54"/>
        <v>0</v>
      </c>
      <c r="P130" s="1">
        <f t="shared" si="55"/>
        <v>0</v>
      </c>
      <c r="Q130" s="1">
        <f t="shared" si="56"/>
        <v>0</v>
      </c>
      <c r="R130" s="1">
        <f t="shared" si="57"/>
        <v>0</v>
      </c>
      <c r="S130" s="1">
        <f t="shared" si="58"/>
        <v>0</v>
      </c>
      <c r="T130" s="1">
        <f t="shared" si="59"/>
        <v>0</v>
      </c>
      <c r="U130" s="1">
        <f t="shared" si="60"/>
        <v>0</v>
      </c>
      <c r="V130" s="1">
        <f t="shared" si="61"/>
        <v>0</v>
      </c>
      <c r="W130" s="1">
        <f t="shared" si="62"/>
        <v>0</v>
      </c>
      <c r="X130" s="1">
        <f t="shared" si="63"/>
        <v>0</v>
      </c>
      <c r="Y130" s="1">
        <f t="shared" si="64"/>
        <v>0</v>
      </c>
      <c r="Z130" s="1">
        <f t="shared" si="65"/>
        <v>0</v>
      </c>
      <c r="AA130" s="1">
        <f t="shared" si="66"/>
        <v>0</v>
      </c>
      <c r="AB130" s="1">
        <f t="shared" si="67"/>
        <v>0</v>
      </c>
      <c r="AC130" s="1">
        <f t="shared" si="68"/>
        <v>0</v>
      </c>
      <c r="AD130" s="1">
        <f t="shared" si="69"/>
        <v>0</v>
      </c>
      <c r="AE130" s="1">
        <f t="shared" si="70"/>
        <v>0</v>
      </c>
      <c r="AF130" s="1">
        <f t="shared" si="71"/>
        <v>0</v>
      </c>
      <c r="AG130" s="1">
        <f t="shared" si="72"/>
        <v>0</v>
      </c>
      <c r="AH130" s="1">
        <f t="shared" si="73"/>
        <v>0</v>
      </c>
      <c r="AI130" s="1">
        <f t="shared" si="74"/>
        <v>0</v>
      </c>
      <c r="AJ130" s="1">
        <f t="shared" si="75"/>
        <v>0</v>
      </c>
      <c r="AK130" s="1">
        <f t="shared" si="76"/>
        <v>0</v>
      </c>
      <c r="AL130" s="1">
        <f t="shared" si="77"/>
        <v>0</v>
      </c>
      <c r="AM130" s="1">
        <f t="shared" si="78"/>
        <v>0</v>
      </c>
      <c r="AN130" s="1">
        <f t="shared" si="79"/>
        <v>0</v>
      </c>
      <c r="AO130" s="1">
        <f t="shared" si="80"/>
        <v>0</v>
      </c>
      <c r="AP130" s="1">
        <f t="shared" si="81"/>
        <v>0</v>
      </c>
      <c r="AQ130" s="1">
        <f t="shared" si="82"/>
        <v>0</v>
      </c>
      <c r="AR130" s="1">
        <f t="shared" si="83"/>
        <v>0</v>
      </c>
      <c r="AS130" s="1">
        <f t="shared" si="84"/>
        <v>0</v>
      </c>
      <c r="AT130" s="1">
        <f t="shared" si="85"/>
        <v>0</v>
      </c>
      <c r="AU130" s="1">
        <f t="shared" si="86"/>
        <v>0</v>
      </c>
      <c r="AV130" s="1">
        <f t="shared" si="87"/>
        <v>0</v>
      </c>
      <c r="AW130" s="1">
        <f t="shared" si="88"/>
        <v>0</v>
      </c>
      <c r="AX130" s="1">
        <f t="shared" si="89"/>
        <v>0</v>
      </c>
      <c r="AY130" s="1">
        <f t="shared" si="90"/>
        <v>0</v>
      </c>
      <c r="AZ130" s="1">
        <f t="shared" si="91"/>
        <v>0</v>
      </c>
      <c r="BA130" s="1">
        <f t="shared" si="92"/>
        <v>0</v>
      </c>
      <c r="BB130" s="1">
        <f t="shared" si="93"/>
        <v>0</v>
      </c>
      <c r="BC130" s="1">
        <f t="shared" si="94"/>
        <v>0</v>
      </c>
      <c r="BD130" s="1">
        <f t="shared" si="95"/>
        <v>0</v>
      </c>
      <c r="BE130" s="1">
        <f t="shared" si="96"/>
        <v>0</v>
      </c>
      <c r="BF130" s="1">
        <f t="shared" si="97"/>
        <v>0</v>
      </c>
      <c r="BG130" s="1">
        <f t="shared" si="98"/>
        <v>0</v>
      </c>
      <c r="BH130" s="1">
        <f t="shared" si="99"/>
        <v>0</v>
      </c>
      <c r="BI130" s="1">
        <f t="shared" si="100"/>
        <v>-35</v>
      </c>
      <c r="BJ130" s="1">
        <f t="shared" si="101"/>
        <v>0</v>
      </c>
      <c r="BK130" s="1">
        <f t="shared" si="102"/>
        <v>0</v>
      </c>
      <c r="BL130" s="1">
        <f t="shared" si="103"/>
        <v>0</v>
      </c>
      <c r="BM130" s="1">
        <f t="shared" si="104"/>
        <v>0</v>
      </c>
      <c r="BN130" s="1">
        <f t="shared" si="105"/>
        <v>0</v>
      </c>
      <c r="BO130" s="1">
        <f t="shared" si="106"/>
        <v>0</v>
      </c>
      <c r="BP130" s="1">
        <f t="shared" si="107"/>
        <v>0</v>
      </c>
      <c r="BQ130" s="1">
        <f t="shared" si="108"/>
        <v>0</v>
      </c>
      <c r="BR130" s="1">
        <f t="shared" si="109"/>
        <v>0</v>
      </c>
      <c r="BS130" s="1">
        <f t="shared" si="110"/>
        <v>0</v>
      </c>
      <c r="BT130" s="1">
        <f t="shared" si="111"/>
        <v>0</v>
      </c>
      <c r="BU130" s="1">
        <f t="shared" si="48"/>
        <v>0</v>
      </c>
      <c r="BV130" s="1">
        <f t="shared" si="112"/>
        <v>0</v>
      </c>
      <c r="BW130" s="1">
        <f t="shared" si="113"/>
        <v>0</v>
      </c>
      <c r="BX130" s="1">
        <f t="shared" si="114"/>
        <v>0</v>
      </c>
      <c r="BY130" s="1">
        <f t="shared" si="115"/>
        <v>0</v>
      </c>
      <c r="BZ130" s="1">
        <f t="shared" si="116"/>
        <v>0</v>
      </c>
      <c r="CA130" s="1">
        <f t="shared" si="117"/>
        <v>0</v>
      </c>
      <c r="CB130" s="1">
        <f t="shared" si="118"/>
        <v>0</v>
      </c>
      <c r="CC130" s="1">
        <f t="shared" si="119"/>
        <v>0</v>
      </c>
      <c r="CD130" s="1">
        <f t="shared" si="120"/>
        <v>0</v>
      </c>
      <c r="CE130" s="1"/>
      <c r="CH130" s="1" t="s">
        <v>63</v>
      </c>
      <c r="CI130" s="1">
        <v>0</v>
      </c>
      <c r="CJ130" s="1">
        <v>0</v>
      </c>
      <c r="CK130" s="1">
        <v>0</v>
      </c>
      <c r="CL130" s="1">
        <v>0</v>
      </c>
      <c r="CM130" s="1">
        <v>0</v>
      </c>
      <c r="CN130" s="1">
        <v>0</v>
      </c>
      <c r="CO130" s="1">
        <v>0</v>
      </c>
      <c r="CP130" s="1">
        <v>0</v>
      </c>
      <c r="CQ130" s="1">
        <v>0</v>
      </c>
      <c r="CR130" s="1">
        <v>0</v>
      </c>
      <c r="CS130" s="1">
        <v>0</v>
      </c>
      <c r="CT130" s="1">
        <v>0</v>
      </c>
      <c r="CU130" s="1">
        <v>0</v>
      </c>
      <c r="CV130" s="1">
        <v>0</v>
      </c>
      <c r="CW130" s="1">
        <v>0</v>
      </c>
      <c r="CX130" s="1">
        <v>0</v>
      </c>
      <c r="CY130" s="1">
        <v>0</v>
      </c>
      <c r="CZ130" s="1">
        <v>0</v>
      </c>
      <c r="DA130" s="1">
        <v>0</v>
      </c>
      <c r="DB130" s="1">
        <v>0</v>
      </c>
      <c r="DC130" s="1">
        <v>0</v>
      </c>
      <c r="DD130" s="1">
        <v>0</v>
      </c>
      <c r="DE130" s="1">
        <v>0</v>
      </c>
      <c r="DF130" s="1">
        <v>0</v>
      </c>
      <c r="DG130" s="1">
        <v>0</v>
      </c>
      <c r="DH130" s="1">
        <v>0</v>
      </c>
      <c r="DI130" s="1">
        <v>0</v>
      </c>
      <c r="DJ130" s="1">
        <v>0</v>
      </c>
      <c r="DK130" s="1">
        <v>0</v>
      </c>
      <c r="DL130" s="1">
        <v>0</v>
      </c>
      <c r="DM130" s="1">
        <v>0</v>
      </c>
      <c r="DN130" s="1">
        <v>0</v>
      </c>
      <c r="DO130" s="1">
        <v>0</v>
      </c>
      <c r="DP130" s="1">
        <v>0</v>
      </c>
      <c r="DQ130" s="1">
        <v>0</v>
      </c>
      <c r="DR130" s="1">
        <v>0</v>
      </c>
      <c r="DS130" s="1">
        <v>0</v>
      </c>
      <c r="DT130" s="1">
        <v>0</v>
      </c>
      <c r="DU130" s="1">
        <v>0</v>
      </c>
      <c r="DV130" s="1">
        <v>0</v>
      </c>
      <c r="DW130" s="1">
        <v>0</v>
      </c>
      <c r="DX130" s="1">
        <v>0</v>
      </c>
      <c r="DY130" s="1">
        <v>0</v>
      </c>
      <c r="DZ130" s="1">
        <v>0</v>
      </c>
      <c r="EA130" s="1">
        <v>0</v>
      </c>
      <c r="EB130" s="1">
        <v>0</v>
      </c>
      <c r="EC130" s="1">
        <v>0</v>
      </c>
      <c r="ED130" s="1">
        <v>0</v>
      </c>
      <c r="EE130" s="1">
        <v>0</v>
      </c>
      <c r="EF130" s="1">
        <v>0</v>
      </c>
      <c r="EG130" s="1">
        <v>0</v>
      </c>
      <c r="EH130" s="1">
        <v>0</v>
      </c>
      <c r="EI130" s="1">
        <v>35</v>
      </c>
      <c r="EJ130" s="1">
        <v>0</v>
      </c>
      <c r="EK130" s="1">
        <v>0</v>
      </c>
      <c r="EL130" s="1">
        <v>0</v>
      </c>
      <c r="EM130" s="1">
        <v>0</v>
      </c>
      <c r="EN130" s="1">
        <v>0</v>
      </c>
      <c r="EO130" s="1">
        <v>0</v>
      </c>
      <c r="EP130" s="1">
        <v>0</v>
      </c>
      <c r="EQ130" s="1">
        <v>0</v>
      </c>
      <c r="ER130" s="1">
        <v>0</v>
      </c>
      <c r="ES130" s="1">
        <v>0</v>
      </c>
      <c r="ET130" s="1">
        <v>0</v>
      </c>
      <c r="EU130" s="1">
        <v>0</v>
      </c>
      <c r="EV130" s="1">
        <v>0</v>
      </c>
      <c r="EW130" s="1">
        <v>0</v>
      </c>
      <c r="EX130" s="1">
        <v>0</v>
      </c>
      <c r="EY130" s="1">
        <v>0</v>
      </c>
      <c r="EZ130" s="1">
        <v>0</v>
      </c>
      <c r="FA130" s="1">
        <v>0</v>
      </c>
      <c r="FB130" s="1">
        <v>0</v>
      </c>
      <c r="FC130" s="1">
        <v>0</v>
      </c>
      <c r="FD130" s="1">
        <v>0</v>
      </c>
      <c r="FE130" s="1">
        <f t="shared" si="46"/>
        <v>35</v>
      </c>
      <c r="FF130" s="1">
        <f>ED157</f>
        <v>26</v>
      </c>
      <c r="FG130" s="1">
        <f t="shared" si="47"/>
        <v>0</v>
      </c>
    </row>
    <row r="131" spans="8:163" ht="15.75" thickBot="1" x14ac:dyDescent="0.3">
      <c r="H131" s="1" t="s">
        <v>64</v>
      </c>
      <c r="I131" s="1">
        <f t="shared" si="45"/>
        <v>0</v>
      </c>
      <c r="J131" s="1">
        <f t="shared" si="49"/>
        <v>0</v>
      </c>
      <c r="K131" s="1">
        <f t="shared" si="50"/>
        <v>0</v>
      </c>
      <c r="L131" s="1">
        <f t="shared" si="51"/>
        <v>0</v>
      </c>
      <c r="M131" s="1">
        <f t="shared" si="52"/>
        <v>0</v>
      </c>
      <c r="N131" s="1">
        <f t="shared" si="53"/>
        <v>0</v>
      </c>
      <c r="O131" s="1">
        <f t="shared" si="54"/>
        <v>0</v>
      </c>
      <c r="P131" s="1">
        <f t="shared" si="55"/>
        <v>0</v>
      </c>
      <c r="Q131" s="1">
        <f t="shared" si="56"/>
        <v>0</v>
      </c>
      <c r="R131" s="1">
        <f t="shared" si="57"/>
        <v>0</v>
      </c>
      <c r="S131" s="1">
        <f t="shared" si="58"/>
        <v>0</v>
      </c>
      <c r="T131" s="1">
        <f t="shared" si="59"/>
        <v>0</v>
      </c>
      <c r="U131" s="1">
        <f t="shared" si="60"/>
        <v>0</v>
      </c>
      <c r="V131" s="1">
        <f t="shared" si="61"/>
        <v>0</v>
      </c>
      <c r="W131" s="1">
        <f t="shared" si="62"/>
        <v>0</v>
      </c>
      <c r="X131" s="1">
        <f t="shared" si="63"/>
        <v>0</v>
      </c>
      <c r="Y131" s="1">
        <f t="shared" si="64"/>
        <v>0</v>
      </c>
      <c r="Z131" s="1">
        <f t="shared" si="65"/>
        <v>0</v>
      </c>
      <c r="AA131" s="1">
        <f t="shared" si="66"/>
        <v>0</v>
      </c>
      <c r="AB131" s="1">
        <f t="shared" si="67"/>
        <v>0</v>
      </c>
      <c r="AC131" s="1">
        <f t="shared" si="68"/>
        <v>0</v>
      </c>
      <c r="AD131" s="1">
        <f t="shared" si="69"/>
        <v>0</v>
      </c>
      <c r="AE131" s="1">
        <f t="shared" si="70"/>
        <v>0</v>
      </c>
      <c r="AF131" s="1">
        <f t="shared" si="71"/>
        <v>0</v>
      </c>
      <c r="AG131" s="1">
        <f t="shared" si="72"/>
        <v>0</v>
      </c>
      <c r="AH131" s="1">
        <f t="shared" si="73"/>
        <v>0</v>
      </c>
      <c r="AI131" s="1">
        <f t="shared" si="74"/>
        <v>0</v>
      </c>
      <c r="AJ131" s="1">
        <f t="shared" si="75"/>
        <v>0</v>
      </c>
      <c r="AK131" s="1">
        <f t="shared" si="76"/>
        <v>0</v>
      </c>
      <c r="AL131" s="1">
        <f t="shared" si="77"/>
        <v>0</v>
      </c>
      <c r="AM131" s="1">
        <f t="shared" si="78"/>
        <v>0</v>
      </c>
      <c r="AN131" s="1">
        <f t="shared" si="79"/>
        <v>0</v>
      </c>
      <c r="AO131" s="1">
        <f t="shared" si="80"/>
        <v>0</v>
      </c>
      <c r="AP131" s="1">
        <f t="shared" si="81"/>
        <v>0</v>
      </c>
      <c r="AQ131" s="1">
        <f t="shared" si="82"/>
        <v>0</v>
      </c>
      <c r="AR131" s="1">
        <f t="shared" si="83"/>
        <v>0</v>
      </c>
      <c r="AS131" s="1">
        <f t="shared" si="84"/>
        <v>0</v>
      </c>
      <c r="AT131" s="1">
        <f t="shared" si="85"/>
        <v>0</v>
      </c>
      <c r="AU131" s="1">
        <f t="shared" si="86"/>
        <v>0</v>
      </c>
      <c r="AV131" s="1">
        <f t="shared" si="87"/>
        <v>0</v>
      </c>
      <c r="AW131" s="1">
        <f t="shared" si="88"/>
        <v>0</v>
      </c>
      <c r="AX131" s="1">
        <f t="shared" si="89"/>
        <v>0</v>
      </c>
      <c r="AY131" s="1">
        <f t="shared" si="90"/>
        <v>0</v>
      </c>
      <c r="AZ131" s="1">
        <f t="shared" si="91"/>
        <v>0</v>
      </c>
      <c r="BA131" s="1">
        <f t="shared" si="92"/>
        <v>0</v>
      </c>
      <c r="BB131" s="1">
        <f t="shared" si="93"/>
        <v>0</v>
      </c>
      <c r="BC131" s="1">
        <f t="shared" si="94"/>
        <v>0</v>
      </c>
      <c r="BD131" s="1">
        <f t="shared" si="95"/>
        <v>0</v>
      </c>
      <c r="BE131" s="1">
        <f t="shared" si="96"/>
        <v>0</v>
      </c>
      <c r="BF131" s="1">
        <f t="shared" si="97"/>
        <v>0</v>
      </c>
      <c r="BG131" s="1">
        <f t="shared" si="98"/>
        <v>0</v>
      </c>
      <c r="BH131" s="1">
        <f t="shared" si="99"/>
        <v>0</v>
      </c>
      <c r="BI131" s="1">
        <f t="shared" si="100"/>
        <v>0</v>
      </c>
      <c r="BJ131" s="1">
        <f t="shared" si="101"/>
        <v>0</v>
      </c>
      <c r="BK131" s="1">
        <f t="shared" si="102"/>
        <v>0</v>
      </c>
      <c r="BL131" s="1">
        <f t="shared" si="103"/>
        <v>0</v>
      </c>
      <c r="BM131" s="1">
        <f t="shared" si="104"/>
        <v>0</v>
      </c>
      <c r="BN131" s="1">
        <f t="shared" si="105"/>
        <v>0</v>
      </c>
      <c r="BO131" s="1">
        <f t="shared" si="106"/>
        <v>0</v>
      </c>
      <c r="BP131" s="1">
        <f t="shared" si="107"/>
        <v>0</v>
      </c>
      <c r="BQ131" s="1">
        <f t="shared" si="108"/>
        <v>0</v>
      </c>
      <c r="BR131" s="1">
        <f t="shared" si="109"/>
        <v>0</v>
      </c>
      <c r="BS131" s="1">
        <f t="shared" si="110"/>
        <v>0</v>
      </c>
      <c r="BT131" s="1">
        <f t="shared" si="111"/>
        <v>0</v>
      </c>
      <c r="BU131" s="1">
        <f t="shared" si="48"/>
        <v>-42</v>
      </c>
      <c r="BV131" s="1">
        <f t="shared" si="112"/>
        <v>0</v>
      </c>
      <c r="BW131" s="1">
        <f t="shared" si="113"/>
        <v>0</v>
      </c>
      <c r="BX131" s="1">
        <f t="shared" si="114"/>
        <v>0</v>
      </c>
      <c r="BY131" s="1">
        <f t="shared" si="115"/>
        <v>0</v>
      </c>
      <c r="BZ131" s="1">
        <f t="shared" si="116"/>
        <v>0</v>
      </c>
      <c r="CA131" s="1">
        <f t="shared" si="117"/>
        <v>0</v>
      </c>
      <c r="CB131" s="1">
        <f t="shared" si="118"/>
        <v>0</v>
      </c>
      <c r="CC131" s="1">
        <f t="shared" si="119"/>
        <v>0</v>
      </c>
      <c r="CD131" s="1">
        <f t="shared" si="120"/>
        <v>0</v>
      </c>
      <c r="CE131" s="1"/>
      <c r="CH131" s="1" t="s">
        <v>64</v>
      </c>
      <c r="CI131" s="1">
        <v>0</v>
      </c>
      <c r="CJ131" s="1">
        <v>0</v>
      </c>
      <c r="CK131" s="1">
        <v>0</v>
      </c>
      <c r="CL131" s="1">
        <v>0</v>
      </c>
      <c r="CM131" s="1">
        <v>0</v>
      </c>
      <c r="CN131" s="1">
        <v>0</v>
      </c>
      <c r="CO131" s="1">
        <v>0</v>
      </c>
      <c r="CP131" s="1">
        <v>0</v>
      </c>
      <c r="CQ131" s="1">
        <v>0</v>
      </c>
      <c r="CR131" s="1">
        <v>0</v>
      </c>
      <c r="CS131" s="1">
        <v>0</v>
      </c>
      <c r="CT131" s="1">
        <v>0</v>
      </c>
      <c r="CU131" s="1">
        <v>0</v>
      </c>
      <c r="CV131" s="1">
        <v>0</v>
      </c>
      <c r="CW131" s="1">
        <v>0</v>
      </c>
      <c r="CX131" s="1">
        <v>0</v>
      </c>
      <c r="CY131" s="1">
        <v>0</v>
      </c>
      <c r="CZ131" s="1">
        <v>0</v>
      </c>
      <c r="DA131" s="1">
        <v>0</v>
      </c>
      <c r="DB131" s="1">
        <v>0</v>
      </c>
      <c r="DC131" s="1">
        <v>0</v>
      </c>
      <c r="DD131" s="1">
        <v>0</v>
      </c>
      <c r="DE131" s="1">
        <v>0</v>
      </c>
      <c r="DF131" s="1">
        <v>0</v>
      </c>
      <c r="DG131" s="1">
        <v>0</v>
      </c>
      <c r="DH131" s="1">
        <v>0</v>
      </c>
      <c r="DI131" s="1">
        <v>0</v>
      </c>
      <c r="DJ131" s="1">
        <v>0</v>
      </c>
      <c r="DK131" s="1">
        <v>0</v>
      </c>
      <c r="DL131" s="1">
        <v>0</v>
      </c>
      <c r="DM131" s="1">
        <v>0</v>
      </c>
      <c r="DN131" s="1">
        <v>0</v>
      </c>
      <c r="DO131" s="1">
        <v>0</v>
      </c>
      <c r="DP131" s="1">
        <v>0</v>
      </c>
      <c r="DQ131" s="1">
        <v>0</v>
      </c>
      <c r="DR131" s="1">
        <v>0</v>
      </c>
      <c r="DS131" s="1">
        <v>0</v>
      </c>
      <c r="DT131" s="1">
        <v>0</v>
      </c>
      <c r="DU131" s="1">
        <v>0</v>
      </c>
      <c r="DV131" s="1">
        <v>0</v>
      </c>
      <c r="DW131" s="1">
        <v>0</v>
      </c>
      <c r="DX131" s="1">
        <v>0</v>
      </c>
      <c r="DY131" s="1">
        <v>0</v>
      </c>
      <c r="DZ131" s="1">
        <v>0</v>
      </c>
      <c r="EA131" s="1">
        <v>0</v>
      </c>
      <c r="EB131" s="1">
        <v>0</v>
      </c>
      <c r="EC131" s="1">
        <v>0</v>
      </c>
      <c r="ED131" s="1">
        <v>0</v>
      </c>
      <c r="EE131" s="1">
        <v>0</v>
      </c>
      <c r="EF131" s="1">
        <v>0</v>
      </c>
      <c r="EG131" s="1">
        <v>0</v>
      </c>
      <c r="EH131" s="1">
        <v>0</v>
      </c>
      <c r="EI131" s="1">
        <v>0</v>
      </c>
      <c r="EJ131" s="1">
        <v>0</v>
      </c>
      <c r="EK131" s="1">
        <v>0</v>
      </c>
      <c r="EL131" s="1">
        <v>0</v>
      </c>
      <c r="EM131" s="1">
        <v>0</v>
      </c>
      <c r="EN131" s="1">
        <v>0</v>
      </c>
      <c r="EO131" s="1">
        <v>0</v>
      </c>
      <c r="EP131" s="1">
        <v>0</v>
      </c>
      <c r="EQ131" s="1">
        <v>0</v>
      </c>
      <c r="ER131" s="1">
        <v>0</v>
      </c>
      <c r="ES131" s="1">
        <v>0</v>
      </c>
      <c r="ET131" s="1">
        <v>0</v>
      </c>
      <c r="EU131" s="1">
        <v>28</v>
      </c>
      <c r="EV131" s="1">
        <v>0</v>
      </c>
      <c r="EW131" s="1">
        <v>0</v>
      </c>
      <c r="EX131" s="1">
        <v>0</v>
      </c>
      <c r="EY131" s="1">
        <v>0</v>
      </c>
      <c r="EZ131" s="1">
        <v>0</v>
      </c>
      <c r="FA131" s="1">
        <v>0</v>
      </c>
      <c r="FB131" s="1">
        <v>0</v>
      </c>
      <c r="FC131" s="1">
        <v>0</v>
      </c>
      <c r="FD131" s="1">
        <v>0</v>
      </c>
      <c r="FE131" s="1">
        <f t="shared" si="46"/>
        <v>28</v>
      </c>
      <c r="FF131" s="1">
        <f>EE157</f>
        <v>14</v>
      </c>
      <c r="FG131" s="1">
        <f t="shared" si="47"/>
        <v>0</v>
      </c>
    </row>
    <row r="132" spans="8:163" ht="15.75" thickBot="1" x14ac:dyDescent="0.3">
      <c r="H132" s="1" t="s">
        <v>65</v>
      </c>
      <c r="I132" s="1">
        <f t="shared" si="45"/>
        <v>0</v>
      </c>
      <c r="J132" s="1">
        <f t="shared" si="49"/>
        <v>0</v>
      </c>
      <c r="K132" s="1">
        <f t="shared" si="50"/>
        <v>0</v>
      </c>
      <c r="L132" s="1">
        <f t="shared" si="51"/>
        <v>0</v>
      </c>
      <c r="M132" s="1">
        <f t="shared" si="52"/>
        <v>0</v>
      </c>
      <c r="N132" s="1">
        <f t="shared" si="53"/>
        <v>0</v>
      </c>
      <c r="O132" s="1">
        <f t="shared" si="54"/>
        <v>0</v>
      </c>
      <c r="P132" s="1">
        <f t="shared" si="55"/>
        <v>0</v>
      </c>
      <c r="Q132" s="1">
        <f t="shared" si="56"/>
        <v>0</v>
      </c>
      <c r="R132" s="1">
        <f t="shared" si="57"/>
        <v>0</v>
      </c>
      <c r="S132" s="1">
        <f t="shared" si="58"/>
        <v>0</v>
      </c>
      <c r="T132" s="1">
        <f t="shared" si="59"/>
        <v>0</v>
      </c>
      <c r="U132" s="1">
        <f t="shared" si="60"/>
        <v>0</v>
      </c>
      <c r="V132" s="1">
        <f t="shared" si="61"/>
        <v>0</v>
      </c>
      <c r="W132" s="1">
        <f t="shared" si="62"/>
        <v>-44</v>
      </c>
      <c r="X132" s="1">
        <f t="shared" si="63"/>
        <v>0</v>
      </c>
      <c r="Y132" s="1">
        <f t="shared" si="64"/>
        <v>0</v>
      </c>
      <c r="Z132" s="1">
        <f t="shared" si="65"/>
        <v>0</v>
      </c>
      <c r="AA132" s="1">
        <f t="shared" si="66"/>
        <v>0</v>
      </c>
      <c r="AB132" s="1">
        <f t="shared" si="67"/>
        <v>0</v>
      </c>
      <c r="AC132" s="1">
        <f t="shared" si="68"/>
        <v>0</v>
      </c>
      <c r="AD132" s="1">
        <f t="shared" si="69"/>
        <v>0</v>
      </c>
      <c r="AE132" s="1">
        <f t="shared" si="70"/>
        <v>0</v>
      </c>
      <c r="AF132" s="1">
        <f t="shared" si="71"/>
        <v>0</v>
      </c>
      <c r="AG132" s="1">
        <f t="shared" si="72"/>
        <v>0</v>
      </c>
      <c r="AH132" s="1">
        <f t="shared" si="73"/>
        <v>0</v>
      </c>
      <c r="AI132" s="1">
        <f t="shared" si="74"/>
        <v>0</v>
      </c>
      <c r="AJ132" s="1">
        <f t="shared" si="75"/>
        <v>0</v>
      </c>
      <c r="AK132" s="1">
        <f t="shared" si="76"/>
        <v>0</v>
      </c>
      <c r="AL132" s="1">
        <f t="shared" si="77"/>
        <v>0</v>
      </c>
      <c r="AM132" s="1">
        <f t="shared" si="78"/>
        <v>0</v>
      </c>
      <c r="AN132" s="1">
        <f t="shared" si="79"/>
        <v>0</v>
      </c>
      <c r="AO132" s="1">
        <f t="shared" si="80"/>
        <v>0</v>
      </c>
      <c r="AP132" s="1">
        <f t="shared" si="81"/>
        <v>0</v>
      </c>
      <c r="AQ132" s="1">
        <f t="shared" si="82"/>
        <v>0</v>
      </c>
      <c r="AR132" s="1">
        <f t="shared" si="83"/>
        <v>0</v>
      </c>
      <c r="AS132" s="1">
        <f t="shared" si="84"/>
        <v>0</v>
      </c>
      <c r="AT132" s="1">
        <f t="shared" si="85"/>
        <v>0</v>
      </c>
      <c r="AU132" s="1">
        <f t="shared" si="86"/>
        <v>0</v>
      </c>
      <c r="AV132" s="1">
        <f t="shared" si="87"/>
        <v>0</v>
      </c>
      <c r="AW132" s="1">
        <f t="shared" si="88"/>
        <v>0</v>
      </c>
      <c r="AX132" s="1">
        <f t="shared" si="89"/>
        <v>0</v>
      </c>
      <c r="AY132" s="1">
        <f t="shared" si="90"/>
        <v>0</v>
      </c>
      <c r="AZ132" s="1">
        <f t="shared" si="91"/>
        <v>0</v>
      </c>
      <c r="BA132" s="1">
        <f t="shared" si="92"/>
        <v>0</v>
      </c>
      <c r="BB132" s="1">
        <f t="shared" si="93"/>
        <v>0</v>
      </c>
      <c r="BC132" s="1">
        <f t="shared" si="94"/>
        <v>0</v>
      </c>
      <c r="BD132" s="1">
        <f t="shared" si="95"/>
        <v>0</v>
      </c>
      <c r="BE132" s="1">
        <f t="shared" si="96"/>
        <v>0</v>
      </c>
      <c r="BF132" s="1">
        <f t="shared" si="97"/>
        <v>0</v>
      </c>
      <c r="BG132" s="1">
        <f t="shared" si="98"/>
        <v>0</v>
      </c>
      <c r="BH132" s="1">
        <f t="shared" si="99"/>
        <v>0</v>
      </c>
      <c r="BI132" s="1">
        <f t="shared" si="100"/>
        <v>0</v>
      </c>
      <c r="BJ132" s="1">
        <f t="shared" si="101"/>
        <v>0</v>
      </c>
      <c r="BK132" s="1">
        <f t="shared" si="102"/>
        <v>0</v>
      </c>
      <c r="BL132" s="1">
        <f t="shared" si="103"/>
        <v>0</v>
      </c>
      <c r="BM132" s="1">
        <f t="shared" si="104"/>
        <v>0</v>
      </c>
      <c r="BN132" s="1">
        <f t="shared" si="105"/>
        <v>0</v>
      </c>
      <c r="BO132" s="1">
        <f t="shared" si="106"/>
        <v>0</v>
      </c>
      <c r="BP132" s="1">
        <f t="shared" si="107"/>
        <v>0</v>
      </c>
      <c r="BQ132" s="1">
        <f t="shared" si="108"/>
        <v>0</v>
      </c>
      <c r="BR132" s="1">
        <f t="shared" si="109"/>
        <v>0</v>
      </c>
      <c r="BS132" s="1">
        <f t="shared" si="110"/>
        <v>0</v>
      </c>
      <c r="BT132" s="1">
        <f t="shared" si="111"/>
        <v>0</v>
      </c>
      <c r="BU132" s="1">
        <f t="shared" si="48"/>
        <v>0</v>
      </c>
      <c r="BV132" s="1">
        <f t="shared" si="112"/>
        <v>0</v>
      </c>
      <c r="BW132" s="1">
        <f t="shared" si="113"/>
        <v>0</v>
      </c>
      <c r="BX132" s="1">
        <f t="shared" si="114"/>
        <v>0</v>
      </c>
      <c r="BY132" s="1">
        <f t="shared" si="115"/>
        <v>0</v>
      </c>
      <c r="BZ132" s="1">
        <f t="shared" si="116"/>
        <v>0</v>
      </c>
      <c r="CA132" s="1">
        <f t="shared" si="117"/>
        <v>0</v>
      </c>
      <c r="CB132" s="1">
        <f t="shared" si="118"/>
        <v>0</v>
      </c>
      <c r="CC132" s="1">
        <f t="shared" si="119"/>
        <v>0</v>
      </c>
      <c r="CD132" s="1">
        <f t="shared" si="120"/>
        <v>0</v>
      </c>
      <c r="CE132" s="1"/>
      <c r="CH132" s="1" t="s">
        <v>65</v>
      </c>
      <c r="CI132" s="1">
        <v>0</v>
      </c>
      <c r="CJ132" s="1">
        <v>0</v>
      </c>
      <c r="CK132" s="1">
        <v>0</v>
      </c>
      <c r="CL132" s="1">
        <v>0</v>
      </c>
      <c r="CM132" s="1">
        <v>0</v>
      </c>
      <c r="CN132" s="1">
        <v>0</v>
      </c>
      <c r="CO132" s="1">
        <v>0</v>
      </c>
      <c r="CP132" s="1">
        <v>0</v>
      </c>
      <c r="CQ132" s="1">
        <v>0</v>
      </c>
      <c r="CR132" s="1">
        <v>0</v>
      </c>
      <c r="CS132" s="1">
        <v>0</v>
      </c>
      <c r="CT132" s="1">
        <v>0</v>
      </c>
      <c r="CU132" s="1">
        <v>0</v>
      </c>
      <c r="CV132" s="1">
        <v>0</v>
      </c>
      <c r="CW132" s="1">
        <v>26</v>
      </c>
      <c r="CX132" s="1">
        <v>0</v>
      </c>
      <c r="CY132" s="1">
        <v>0</v>
      </c>
      <c r="CZ132" s="1">
        <v>0</v>
      </c>
      <c r="DA132" s="1">
        <v>0</v>
      </c>
      <c r="DB132" s="1">
        <v>0</v>
      </c>
      <c r="DC132" s="1">
        <v>0</v>
      </c>
      <c r="DD132" s="1">
        <v>0</v>
      </c>
      <c r="DE132" s="1">
        <v>0</v>
      </c>
      <c r="DF132" s="1">
        <v>0</v>
      </c>
      <c r="DG132" s="1">
        <v>0</v>
      </c>
      <c r="DH132" s="1">
        <v>0</v>
      </c>
      <c r="DI132" s="1">
        <v>0</v>
      </c>
      <c r="DJ132" s="1">
        <v>0</v>
      </c>
      <c r="DK132" s="1">
        <v>0</v>
      </c>
      <c r="DL132" s="1">
        <v>0</v>
      </c>
      <c r="DM132" s="1">
        <v>0</v>
      </c>
      <c r="DN132" s="1">
        <v>0</v>
      </c>
      <c r="DO132" s="1">
        <v>0</v>
      </c>
      <c r="DP132" s="1">
        <v>0</v>
      </c>
      <c r="DQ132" s="1">
        <v>0</v>
      </c>
      <c r="DR132" s="1">
        <v>0</v>
      </c>
      <c r="DS132" s="1">
        <v>0</v>
      </c>
      <c r="DT132" s="1">
        <v>0</v>
      </c>
      <c r="DU132" s="1">
        <v>0</v>
      </c>
      <c r="DV132" s="1">
        <v>0</v>
      </c>
      <c r="DW132" s="1">
        <v>0</v>
      </c>
      <c r="DX132" s="1">
        <v>0</v>
      </c>
      <c r="DY132" s="1">
        <v>0</v>
      </c>
      <c r="DZ132" s="1">
        <v>0</v>
      </c>
      <c r="EA132" s="1">
        <v>0</v>
      </c>
      <c r="EB132" s="1">
        <v>0</v>
      </c>
      <c r="EC132" s="1">
        <v>0</v>
      </c>
      <c r="ED132" s="1">
        <v>0</v>
      </c>
      <c r="EE132" s="1">
        <v>0</v>
      </c>
      <c r="EF132" s="1">
        <v>0</v>
      </c>
      <c r="EG132" s="1">
        <v>0</v>
      </c>
      <c r="EH132" s="1">
        <v>0</v>
      </c>
      <c r="EI132" s="1">
        <v>0</v>
      </c>
      <c r="EJ132" s="1">
        <v>0</v>
      </c>
      <c r="EK132" s="1">
        <v>0</v>
      </c>
      <c r="EL132" s="1">
        <v>0</v>
      </c>
      <c r="EM132" s="1">
        <v>0</v>
      </c>
      <c r="EN132" s="1">
        <v>0</v>
      </c>
      <c r="EO132" s="1">
        <v>0</v>
      </c>
      <c r="EP132" s="1">
        <v>0</v>
      </c>
      <c r="EQ132" s="1">
        <v>0</v>
      </c>
      <c r="ER132" s="1">
        <v>0</v>
      </c>
      <c r="ES132" s="1">
        <v>0</v>
      </c>
      <c r="ET132" s="1">
        <v>0</v>
      </c>
      <c r="EU132" s="1">
        <v>0</v>
      </c>
      <c r="EV132" s="1">
        <v>0</v>
      </c>
      <c r="EW132" s="1">
        <v>0</v>
      </c>
      <c r="EX132" s="1">
        <v>0</v>
      </c>
      <c r="EY132" s="1">
        <v>0</v>
      </c>
      <c r="EZ132" s="1">
        <v>0</v>
      </c>
      <c r="FA132" s="1">
        <v>0</v>
      </c>
      <c r="FB132" s="1">
        <v>0</v>
      </c>
      <c r="FC132" s="1">
        <v>0</v>
      </c>
      <c r="FD132" s="1">
        <v>0</v>
      </c>
      <c r="FE132" s="1">
        <f t="shared" si="46"/>
        <v>26</v>
      </c>
      <c r="FF132" s="1">
        <f>EF157</f>
        <v>23</v>
      </c>
      <c r="FG132" s="1">
        <f t="shared" si="47"/>
        <v>0</v>
      </c>
    </row>
    <row r="133" spans="8:163" ht="15.75" thickBot="1" x14ac:dyDescent="0.3">
      <c r="H133" s="1" t="s">
        <v>66</v>
      </c>
      <c r="I133" s="1">
        <f t="shared" si="45"/>
        <v>0</v>
      </c>
      <c r="J133" s="1">
        <f t="shared" si="49"/>
        <v>0</v>
      </c>
      <c r="K133" s="1">
        <f t="shared" si="50"/>
        <v>0</v>
      </c>
      <c r="L133" s="1">
        <f t="shared" si="51"/>
        <v>0</v>
      </c>
      <c r="M133" s="1">
        <f t="shared" si="52"/>
        <v>0</v>
      </c>
      <c r="N133" s="1">
        <f t="shared" si="53"/>
        <v>0</v>
      </c>
      <c r="O133" s="1">
        <f t="shared" si="54"/>
        <v>0</v>
      </c>
      <c r="P133" s="1">
        <f t="shared" si="55"/>
        <v>0</v>
      </c>
      <c r="Q133" s="1">
        <f t="shared" si="56"/>
        <v>0</v>
      </c>
      <c r="R133" s="1">
        <f t="shared" si="57"/>
        <v>0</v>
      </c>
      <c r="S133" s="1">
        <f t="shared" si="58"/>
        <v>0</v>
      </c>
      <c r="T133" s="1">
        <f t="shared" si="59"/>
        <v>0</v>
      </c>
      <c r="U133" s="1">
        <f t="shared" si="60"/>
        <v>0</v>
      </c>
      <c r="V133" s="1">
        <f t="shared" si="61"/>
        <v>0</v>
      </c>
      <c r="W133" s="1">
        <f t="shared" si="62"/>
        <v>0</v>
      </c>
      <c r="X133" s="1">
        <f t="shared" si="63"/>
        <v>0</v>
      </c>
      <c r="Y133" s="1">
        <f t="shared" si="64"/>
        <v>0</v>
      </c>
      <c r="Z133" s="1">
        <f t="shared" si="65"/>
        <v>0</v>
      </c>
      <c r="AA133" s="1">
        <f t="shared" si="66"/>
        <v>0</v>
      </c>
      <c r="AB133" s="1">
        <f t="shared" si="67"/>
        <v>0</v>
      </c>
      <c r="AC133" s="1">
        <f t="shared" si="68"/>
        <v>0</v>
      </c>
      <c r="AD133" s="1">
        <f t="shared" si="69"/>
        <v>0</v>
      </c>
      <c r="AE133" s="1">
        <f t="shared" si="70"/>
        <v>0</v>
      </c>
      <c r="AF133" s="1">
        <f t="shared" si="71"/>
        <v>0</v>
      </c>
      <c r="AG133" s="1">
        <f t="shared" si="72"/>
        <v>0</v>
      </c>
      <c r="AH133" s="1">
        <f t="shared" si="73"/>
        <v>0</v>
      </c>
      <c r="AI133" s="1">
        <f t="shared" si="74"/>
        <v>0</v>
      </c>
      <c r="AJ133" s="1">
        <f t="shared" si="75"/>
        <v>0</v>
      </c>
      <c r="AK133" s="1">
        <f t="shared" si="76"/>
        <v>0</v>
      </c>
      <c r="AL133" s="1">
        <f t="shared" si="77"/>
        <v>0</v>
      </c>
      <c r="AM133" s="1">
        <f t="shared" si="78"/>
        <v>0</v>
      </c>
      <c r="AN133" s="1">
        <f t="shared" si="79"/>
        <v>0</v>
      </c>
      <c r="AO133" s="1">
        <f t="shared" si="80"/>
        <v>0</v>
      </c>
      <c r="AP133" s="1">
        <f t="shared" si="81"/>
        <v>0</v>
      </c>
      <c r="AQ133" s="1">
        <f t="shared" si="82"/>
        <v>0</v>
      </c>
      <c r="AR133" s="1">
        <f t="shared" si="83"/>
        <v>0</v>
      </c>
      <c r="AS133" s="1">
        <f t="shared" si="84"/>
        <v>0</v>
      </c>
      <c r="AT133" s="1">
        <f t="shared" si="85"/>
        <v>0</v>
      </c>
      <c r="AU133" s="1">
        <f t="shared" si="86"/>
        <v>0</v>
      </c>
      <c r="AV133" s="1">
        <f t="shared" si="87"/>
        <v>0</v>
      </c>
      <c r="AW133" s="1">
        <f t="shared" si="88"/>
        <v>0</v>
      </c>
      <c r="AX133" s="1">
        <f t="shared" si="89"/>
        <v>0</v>
      </c>
      <c r="AY133" s="1">
        <f t="shared" si="90"/>
        <v>0</v>
      </c>
      <c r="AZ133" s="1">
        <f t="shared" si="91"/>
        <v>0</v>
      </c>
      <c r="BA133" s="1">
        <f t="shared" si="92"/>
        <v>0</v>
      </c>
      <c r="BB133" s="1">
        <f t="shared" si="93"/>
        <v>0</v>
      </c>
      <c r="BC133" s="1">
        <f t="shared" si="94"/>
        <v>0</v>
      </c>
      <c r="BD133" s="1">
        <f t="shared" si="95"/>
        <v>-44</v>
      </c>
      <c r="BE133" s="1">
        <f t="shared" si="96"/>
        <v>0</v>
      </c>
      <c r="BF133" s="1">
        <f t="shared" si="97"/>
        <v>0</v>
      </c>
      <c r="BG133" s="1">
        <f t="shared" si="98"/>
        <v>0</v>
      </c>
      <c r="BH133" s="1">
        <f t="shared" si="99"/>
        <v>0</v>
      </c>
      <c r="BI133" s="1">
        <f t="shared" si="100"/>
        <v>0</v>
      </c>
      <c r="BJ133" s="1">
        <f t="shared" si="101"/>
        <v>0</v>
      </c>
      <c r="BK133" s="1">
        <f t="shared" si="102"/>
        <v>0</v>
      </c>
      <c r="BL133" s="1">
        <f t="shared" si="103"/>
        <v>0</v>
      </c>
      <c r="BM133" s="1">
        <f t="shared" si="104"/>
        <v>0</v>
      </c>
      <c r="BN133" s="1">
        <f t="shared" si="105"/>
        <v>0</v>
      </c>
      <c r="BO133" s="1">
        <f t="shared" si="106"/>
        <v>0</v>
      </c>
      <c r="BP133" s="1">
        <f t="shared" si="107"/>
        <v>0</v>
      </c>
      <c r="BQ133" s="1">
        <f t="shared" si="108"/>
        <v>0</v>
      </c>
      <c r="BR133" s="1">
        <f t="shared" si="109"/>
        <v>0</v>
      </c>
      <c r="BS133" s="1">
        <f t="shared" si="110"/>
        <v>0</v>
      </c>
      <c r="BT133" s="1">
        <f t="shared" si="111"/>
        <v>0</v>
      </c>
      <c r="BU133" s="1">
        <f t="shared" si="48"/>
        <v>0</v>
      </c>
      <c r="BV133" s="1">
        <f t="shared" si="112"/>
        <v>0</v>
      </c>
      <c r="BW133" s="1">
        <f t="shared" si="113"/>
        <v>0</v>
      </c>
      <c r="BX133" s="1">
        <f t="shared" si="114"/>
        <v>0</v>
      </c>
      <c r="BY133" s="1">
        <f t="shared" si="115"/>
        <v>0</v>
      </c>
      <c r="BZ133" s="1">
        <f t="shared" si="116"/>
        <v>0</v>
      </c>
      <c r="CA133" s="1">
        <f t="shared" si="117"/>
        <v>0</v>
      </c>
      <c r="CB133" s="1">
        <f t="shared" si="118"/>
        <v>0</v>
      </c>
      <c r="CC133" s="1">
        <f t="shared" si="119"/>
        <v>0</v>
      </c>
      <c r="CD133" s="1">
        <f t="shared" si="120"/>
        <v>0</v>
      </c>
      <c r="CE133" s="1"/>
      <c r="CH133" s="1" t="s">
        <v>66</v>
      </c>
      <c r="CI133" s="1">
        <v>0</v>
      </c>
      <c r="CJ133" s="1">
        <v>0</v>
      </c>
      <c r="CK133" s="1">
        <v>0</v>
      </c>
      <c r="CL133" s="1">
        <v>0</v>
      </c>
      <c r="CM133" s="1">
        <v>0</v>
      </c>
      <c r="CN133" s="1">
        <v>0</v>
      </c>
      <c r="CO133" s="1">
        <v>0</v>
      </c>
      <c r="CP133" s="1">
        <v>0</v>
      </c>
      <c r="CQ133" s="1">
        <v>0</v>
      </c>
      <c r="CR133" s="1">
        <v>0</v>
      </c>
      <c r="CS133" s="1">
        <v>0</v>
      </c>
      <c r="CT133" s="1">
        <v>0</v>
      </c>
      <c r="CU133" s="1">
        <v>0</v>
      </c>
      <c r="CV133" s="1">
        <v>0</v>
      </c>
      <c r="CW133" s="1">
        <v>0</v>
      </c>
      <c r="CX133" s="1">
        <v>0</v>
      </c>
      <c r="CY133" s="1">
        <v>0</v>
      </c>
      <c r="CZ133" s="1">
        <v>0</v>
      </c>
      <c r="DA133" s="1">
        <v>0</v>
      </c>
      <c r="DB133" s="1">
        <v>0</v>
      </c>
      <c r="DC133" s="1">
        <v>0</v>
      </c>
      <c r="DD133" s="1">
        <v>0</v>
      </c>
      <c r="DE133" s="1">
        <v>0</v>
      </c>
      <c r="DF133" s="1">
        <v>0</v>
      </c>
      <c r="DG133" s="1">
        <v>0</v>
      </c>
      <c r="DH133" s="1">
        <v>0</v>
      </c>
      <c r="DI133" s="1">
        <v>0</v>
      </c>
      <c r="DJ133" s="1">
        <v>0</v>
      </c>
      <c r="DK133" s="1">
        <v>0</v>
      </c>
      <c r="DL133" s="1">
        <v>0</v>
      </c>
      <c r="DM133" s="1">
        <v>0</v>
      </c>
      <c r="DN133" s="1">
        <v>0</v>
      </c>
      <c r="DO133" s="1">
        <v>0</v>
      </c>
      <c r="DP133" s="1">
        <v>0</v>
      </c>
      <c r="DQ133" s="1">
        <v>0</v>
      </c>
      <c r="DR133" s="1">
        <v>0</v>
      </c>
      <c r="DS133" s="1">
        <v>0</v>
      </c>
      <c r="DT133" s="1">
        <v>0</v>
      </c>
      <c r="DU133" s="1">
        <v>0</v>
      </c>
      <c r="DV133" s="1">
        <v>0</v>
      </c>
      <c r="DW133" s="1">
        <v>0</v>
      </c>
      <c r="DX133" s="1">
        <v>0</v>
      </c>
      <c r="DY133" s="1">
        <v>0</v>
      </c>
      <c r="DZ133" s="1">
        <v>0</v>
      </c>
      <c r="EA133" s="1">
        <v>0</v>
      </c>
      <c r="EB133" s="1">
        <v>0</v>
      </c>
      <c r="EC133" s="1">
        <v>0</v>
      </c>
      <c r="ED133" s="1">
        <v>26</v>
      </c>
      <c r="EE133" s="1">
        <v>0</v>
      </c>
      <c r="EF133" s="1">
        <v>0</v>
      </c>
      <c r="EG133" s="1">
        <v>0</v>
      </c>
      <c r="EH133" s="1">
        <v>0</v>
      </c>
      <c r="EI133" s="1">
        <v>0</v>
      </c>
      <c r="EJ133" s="1">
        <v>0</v>
      </c>
      <c r="EK133" s="1">
        <v>0</v>
      </c>
      <c r="EL133" s="1">
        <v>0</v>
      </c>
      <c r="EM133" s="1">
        <v>0</v>
      </c>
      <c r="EN133" s="1">
        <v>0</v>
      </c>
      <c r="EO133" s="1">
        <v>0</v>
      </c>
      <c r="EP133" s="1">
        <v>0</v>
      </c>
      <c r="EQ133" s="1">
        <v>0</v>
      </c>
      <c r="ER133" s="1">
        <v>0</v>
      </c>
      <c r="ES133" s="1">
        <v>0</v>
      </c>
      <c r="ET133" s="1">
        <v>0</v>
      </c>
      <c r="EU133" s="1">
        <v>0</v>
      </c>
      <c r="EV133" s="1">
        <v>0</v>
      </c>
      <c r="EW133" s="1">
        <v>0</v>
      </c>
      <c r="EX133" s="1">
        <v>0</v>
      </c>
      <c r="EY133" s="1">
        <v>0</v>
      </c>
      <c r="EZ133" s="1">
        <v>0</v>
      </c>
      <c r="FA133" s="1">
        <v>0</v>
      </c>
      <c r="FB133" s="1">
        <v>0</v>
      </c>
      <c r="FC133" s="1">
        <v>0</v>
      </c>
      <c r="FD133" s="1">
        <v>0</v>
      </c>
      <c r="FE133" s="1">
        <f t="shared" si="46"/>
        <v>26</v>
      </c>
      <c r="FF133" s="1">
        <f>EG157</f>
        <v>21</v>
      </c>
      <c r="FG133" s="1">
        <f t="shared" si="47"/>
        <v>0</v>
      </c>
    </row>
    <row r="134" spans="8:163" ht="15.75" thickBot="1" x14ac:dyDescent="0.3">
      <c r="H134" s="1" t="s">
        <v>67</v>
      </c>
      <c r="I134" s="1">
        <f t="shared" si="45"/>
        <v>0</v>
      </c>
      <c r="J134" s="1">
        <f t="shared" si="49"/>
        <v>0</v>
      </c>
      <c r="K134" s="1">
        <f t="shared" si="50"/>
        <v>0</v>
      </c>
      <c r="L134" s="1">
        <f t="shared" si="51"/>
        <v>0</v>
      </c>
      <c r="M134" s="1">
        <f t="shared" si="52"/>
        <v>0</v>
      </c>
      <c r="N134" s="1">
        <f t="shared" si="53"/>
        <v>0</v>
      </c>
      <c r="O134" s="1">
        <f t="shared" si="54"/>
        <v>0</v>
      </c>
      <c r="P134" s="1">
        <f t="shared" si="55"/>
        <v>0</v>
      </c>
      <c r="Q134" s="1">
        <f t="shared" si="56"/>
        <v>0</v>
      </c>
      <c r="R134" s="1">
        <f t="shared" si="57"/>
        <v>0</v>
      </c>
      <c r="S134" s="1">
        <f t="shared" si="58"/>
        <v>0</v>
      </c>
      <c r="T134" s="1">
        <f t="shared" si="59"/>
        <v>0</v>
      </c>
      <c r="U134" s="1">
        <f t="shared" si="60"/>
        <v>0</v>
      </c>
      <c r="V134" s="1">
        <f t="shared" si="61"/>
        <v>0</v>
      </c>
      <c r="W134" s="1">
        <f t="shared" si="62"/>
        <v>0</v>
      </c>
      <c r="X134" s="1">
        <f t="shared" si="63"/>
        <v>0</v>
      </c>
      <c r="Y134" s="1">
        <f t="shared" si="64"/>
        <v>0</v>
      </c>
      <c r="Z134" s="1">
        <f t="shared" si="65"/>
        <v>0</v>
      </c>
      <c r="AA134" s="1">
        <f t="shared" si="66"/>
        <v>0</v>
      </c>
      <c r="AB134" s="1">
        <f t="shared" si="67"/>
        <v>0</v>
      </c>
      <c r="AC134" s="1">
        <f t="shared" si="68"/>
        <v>0</v>
      </c>
      <c r="AD134" s="1">
        <f t="shared" si="69"/>
        <v>0</v>
      </c>
      <c r="AE134" s="1">
        <f t="shared" si="70"/>
        <v>0</v>
      </c>
      <c r="AF134" s="1">
        <f t="shared" si="71"/>
        <v>0</v>
      </c>
      <c r="AG134" s="1">
        <f t="shared" si="72"/>
        <v>0</v>
      </c>
      <c r="AH134" s="1">
        <f t="shared" si="73"/>
        <v>0</v>
      </c>
      <c r="AI134" s="1">
        <f t="shared" si="74"/>
        <v>0</v>
      </c>
      <c r="AJ134" s="1">
        <f t="shared" si="75"/>
        <v>0</v>
      </c>
      <c r="AK134" s="1">
        <f t="shared" si="76"/>
        <v>0</v>
      </c>
      <c r="AL134" s="1">
        <f t="shared" si="77"/>
        <v>0</v>
      </c>
      <c r="AM134" s="1">
        <f t="shared" si="78"/>
        <v>0</v>
      </c>
      <c r="AN134" s="1">
        <f t="shared" si="79"/>
        <v>0</v>
      </c>
      <c r="AO134" s="1">
        <f t="shared" si="80"/>
        <v>0</v>
      </c>
      <c r="AP134" s="1">
        <f t="shared" si="81"/>
        <v>0</v>
      </c>
      <c r="AQ134" s="1">
        <f t="shared" si="82"/>
        <v>0</v>
      </c>
      <c r="AR134" s="1">
        <f t="shared" si="83"/>
        <v>0</v>
      </c>
      <c r="AS134" s="1">
        <f t="shared" si="84"/>
        <v>0</v>
      </c>
      <c r="AT134" s="1">
        <f t="shared" si="85"/>
        <v>0</v>
      </c>
      <c r="AU134" s="1">
        <f t="shared" si="86"/>
        <v>0</v>
      </c>
      <c r="AV134" s="1">
        <f t="shared" si="87"/>
        <v>0</v>
      </c>
      <c r="AW134" s="1">
        <f t="shared" si="88"/>
        <v>0</v>
      </c>
      <c r="AX134" s="1">
        <f t="shared" si="89"/>
        <v>0</v>
      </c>
      <c r="AY134" s="1">
        <f t="shared" si="90"/>
        <v>0</v>
      </c>
      <c r="AZ134" s="1">
        <f t="shared" si="91"/>
        <v>0</v>
      </c>
      <c r="BA134" s="1">
        <f t="shared" si="92"/>
        <v>0</v>
      </c>
      <c r="BB134" s="1">
        <f t="shared" si="93"/>
        <v>0</v>
      </c>
      <c r="BC134" s="1">
        <f t="shared" si="94"/>
        <v>0</v>
      </c>
      <c r="BD134" s="1">
        <f t="shared" si="95"/>
        <v>0</v>
      </c>
      <c r="BE134" s="1">
        <f t="shared" si="96"/>
        <v>0</v>
      </c>
      <c r="BF134" s="1">
        <f t="shared" si="97"/>
        <v>0</v>
      </c>
      <c r="BG134" s="1">
        <f t="shared" si="98"/>
        <v>0</v>
      </c>
      <c r="BH134" s="1">
        <f t="shared" si="99"/>
        <v>0</v>
      </c>
      <c r="BI134" s="1">
        <f t="shared" si="100"/>
        <v>0</v>
      </c>
      <c r="BJ134" s="1">
        <f t="shared" si="101"/>
        <v>0</v>
      </c>
      <c r="BK134" s="1">
        <f t="shared" si="102"/>
        <v>0</v>
      </c>
      <c r="BL134" s="1">
        <f t="shared" si="103"/>
        <v>0</v>
      </c>
      <c r="BM134" s="1">
        <f t="shared" si="104"/>
        <v>0</v>
      </c>
      <c r="BN134" s="1">
        <f t="shared" si="105"/>
        <v>0</v>
      </c>
      <c r="BO134" s="1">
        <f t="shared" si="106"/>
        <v>0</v>
      </c>
      <c r="BP134" s="1">
        <f t="shared" si="107"/>
        <v>0</v>
      </c>
      <c r="BQ134" s="1">
        <f t="shared" si="108"/>
        <v>0</v>
      </c>
      <c r="BR134" s="1">
        <f t="shared" si="109"/>
        <v>0</v>
      </c>
      <c r="BS134" s="1">
        <f t="shared" si="110"/>
        <v>0</v>
      </c>
      <c r="BT134" s="1">
        <f t="shared" si="111"/>
        <v>0</v>
      </c>
      <c r="BU134" s="1">
        <f t="shared" si="48"/>
        <v>0</v>
      </c>
      <c r="BV134" s="1">
        <f t="shared" si="112"/>
        <v>-24</v>
      </c>
      <c r="BW134" s="1">
        <f t="shared" si="113"/>
        <v>0</v>
      </c>
      <c r="BX134" s="1">
        <f t="shared" si="114"/>
        <v>0</v>
      </c>
      <c r="BY134" s="1">
        <f t="shared" si="115"/>
        <v>0</v>
      </c>
      <c r="BZ134" s="1">
        <f t="shared" si="116"/>
        <v>0</v>
      </c>
      <c r="CA134" s="1">
        <f t="shared" si="117"/>
        <v>0</v>
      </c>
      <c r="CB134" s="1">
        <f t="shared" si="118"/>
        <v>0</v>
      </c>
      <c r="CC134" s="1">
        <f t="shared" si="119"/>
        <v>0</v>
      </c>
      <c r="CD134" s="1">
        <f t="shared" si="120"/>
        <v>0</v>
      </c>
      <c r="CE134" s="1"/>
      <c r="CH134" s="1" t="s">
        <v>67</v>
      </c>
      <c r="CI134" s="1">
        <v>0</v>
      </c>
      <c r="CJ134" s="1">
        <v>0</v>
      </c>
      <c r="CK134" s="1">
        <v>0</v>
      </c>
      <c r="CL134" s="1">
        <v>0</v>
      </c>
      <c r="CM134" s="1">
        <v>0</v>
      </c>
      <c r="CN134" s="1">
        <v>0</v>
      </c>
      <c r="CO134" s="1">
        <v>0</v>
      </c>
      <c r="CP134" s="1">
        <v>0</v>
      </c>
      <c r="CQ134" s="1">
        <v>0</v>
      </c>
      <c r="CR134" s="1">
        <v>0</v>
      </c>
      <c r="CS134" s="1">
        <v>0</v>
      </c>
      <c r="CT134" s="1">
        <v>0</v>
      </c>
      <c r="CU134" s="1">
        <v>0</v>
      </c>
      <c r="CV134" s="1">
        <v>0</v>
      </c>
      <c r="CW134" s="1">
        <v>0</v>
      </c>
      <c r="CX134" s="1">
        <v>0</v>
      </c>
      <c r="CY134" s="1">
        <v>0</v>
      </c>
      <c r="CZ134" s="1">
        <v>0</v>
      </c>
      <c r="DA134" s="1">
        <v>0</v>
      </c>
      <c r="DB134" s="1">
        <v>0</v>
      </c>
      <c r="DC134" s="1">
        <v>0</v>
      </c>
      <c r="DD134" s="1">
        <v>0</v>
      </c>
      <c r="DE134" s="1">
        <v>0</v>
      </c>
      <c r="DF134" s="1">
        <v>0</v>
      </c>
      <c r="DG134" s="1">
        <v>0</v>
      </c>
      <c r="DH134" s="1">
        <v>0</v>
      </c>
      <c r="DI134" s="1">
        <v>0</v>
      </c>
      <c r="DJ134" s="1">
        <v>0</v>
      </c>
      <c r="DK134" s="1">
        <v>0</v>
      </c>
      <c r="DL134" s="1">
        <v>0</v>
      </c>
      <c r="DM134" s="1">
        <v>0</v>
      </c>
      <c r="DN134" s="1">
        <v>0</v>
      </c>
      <c r="DO134" s="1">
        <v>0</v>
      </c>
      <c r="DP134" s="1">
        <v>0</v>
      </c>
      <c r="DQ134" s="1">
        <v>0</v>
      </c>
      <c r="DR134" s="1">
        <v>0</v>
      </c>
      <c r="DS134" s="1">
        <v>0</v>
      </c>
      <c r="DT134" s="1">
        <v>0</v>
      </c>
      <c r="DU134" s="1">
        <v>0</v>
      </c>
      <c r="DV134" s="1">
        <v>0</v>
      </c>
      <c r="DW134" s="1">
        <v>0</v>
      </c>
      <c r="DX134" s="1">
        <v>0</v>
      </c>
      <c r="DY134" s="1">
        <v>0</v>
      </c>
      <c r="DZ134" s="1">
        <v>0</v>
      </c>
      <c r="EA134" s="1">
        <v>0</v>
      </c>
      <c r="EB134" s="1">
        <v>0</v>
      </c>
      <c r="EC134" s="1">
        <v>0</v>
      </c>
      <c r="ED134" s="1">
        <v>0</v>
      </c>
      <c r="EE134" s="1">
        <v>0</v>
      </c>
      <c r="EF134" s="1">
        <v>0</v>
      </c>
      <c r="EG134" s="1">
        <v>0</v>
      </c>
      <c r="EH134" s="1">
        <v>0</v>
      </c>
      <c r="EI134" s="1">
        <v>0</v>
      </c>
      <c r="EJ134" s="1">
        <v>0</v>
      </c>
      <c r="EK134" s="1">
        <v>0</v>
      </c>
      <c r="EL134" s="1">
        <v>0</v>
      </c>
      <c r="EM134" s="1">
        <v>0</v>
      </c>
      <c r="EN134" s="1">
        <v>0</v>
      </c>
      <c r="EO134" s="1">
        <v>0</v>
      </c>
      <c r="EP134" s="1">
        <v>0</v>
      </c>
      <c r="EQ134" s="1">
        <v>0</v>
      </c>
      <c r="ER134" s="1">
        <v>0</v>
      </c>
      <c r="ES134" s="1">
        <v>0</v>
      </c>
      <c r="ET134" s="1">
        <v>0</v>
      </c>
      <c r="EU134" s="1">
        <v>0</v>
      </c>
      <c r="EV134" s="1">
        <v>46</v>
      </c>
      <c r="EW134" s="1">
        <v>0</v>
      </c>
      <c r="EX134" s="1">
        <v>0</v>
      </c>
      <c r="EY134" s="1">
        <v>0</v>
      </c>
      <c r="EZ134" s="1">
        <v>0</v>
      </c>
      <c r="FA134" s="1">
        <v>0</v>
      </c>
      <c r="FB134" s="1">
        <v>0</v>
      </c>
      <c r="FC134" s="1">
        <v>0</v>
      </c>
      <c r="FD134" s="1">
        <v>0</v>
      </c>
      <c r="FE134" s="1">
        <f t="shared" si="46"/>
        <v>46</v>
      </c>
      <c r="FF134" s="1">
        <f>EH157</f>
        <v>43</v>
      </c>
      <c r="FG134" s="1">
        <f t="shared" si="47"/>
        <v>0</v>
      </c>
    </row>
    <row r="135" spans="8:163" ht="15.75" thickBot="1" x14ac:dyDescent="0.3">
      <c r="H135" s="1" t="s">
        <v>68</v>
      </c>
      <c r="I135" s="1">
        <f t="shared" si="45"/>
        <v>0</v>
      </c>
      <c r="J135" s="1">
        <f t="shared" si="49"/>
        <v>0</v>
      </c>
      <c r="K135" s="1">
        <f t="shared" si="50"/>
        <v>0</v>
      </c>
      <c r="L135" s="1">
        <f t="shared" si="51"/>
        <v>0</v>
      </c>
      <c r="M135" s="1">
        <f t="shared" si="52"/>
        <v>0</v>
      </c>
      <c r="N135" s="1">
        <f t="shared" si="53"/>
        <v>0</v>
      </c>
      <c r="O135" s="1">
        <f t="shared" si="54"/>
        <v>0</v>
      </c>
      <c r="P135" s="1">
        <f t="shared" si="55"/>
        <v>0</v>
      </c>
      <c r="Q135" s="1">
        <f t="shared" si="56"/>
        <v>0</v>
      </c>
      <c r="R135" s="1">
        <f t="shared" si="57"/>
        <v>0</v>
      </c>
      <c r="S135" s="1">
        <f t="shared" si="58"/>
        <v>0</v>
      </c>
      <c r="T135" s="1">
        <f t="shared" si="59"/>
        <v>0</v>
      </c>
      <c r="U135" s="1">
        <f t="shared" si="60"/>
        <v>0</v>
      </c>
      <c r="V135" s="1">
        <f t="shared" si="61"/>
        <v>0</v>
      </c>
      <c r="W135" s="1">
        <f t="shared" si="62"/>
        <v>0</v>
      </c>
      <c r="X135" s="1">
        <f t="shared" si="63"/>
        <v>0</v>
      </c>
      <c r="Y135" s="1">
        <f t="shared" si="64"/>
        <v>0</v>
      </c>
      <c r="Z135" s="1">
        <f t="shared" si="65"/>
        <v>0</v>
      </c>
      <c r="AA135" s="1">
        <f t="shared" si="66"/>
        <v>0</v>
      </c>
      <c r="AB135" s="1">
        <f t="shared" si="67"/>
        <v>0</v>
      </c>
      <c r="AC135" s="1">
        <f t="shared" si="68"/>
        <v>0</v>
      </c>
      <c r="AD135" s="1">
        <f t="shared" si="69"/>
        <v>0</v>
      </c>
      <c r="AE135" s="1">
        <f t="shared" si="70"/>
        <v>0</v>
      </c>
      <c r="AF135" s="1">
        <f t="shared" si="71"/>
        <v>0</v>
      </c>
      <c r="AG135" s="1">
        <f t="shared" si="72"/>
        <v>0</v>
      </c>
      <c r="AH135" s="1">
        <f t="shared" si="73"/>
        <v>0</v>
      </c>
      <c r="AI135" s="1">
        <f t="shared" si="74"/>
        <v>0</v>
      </c>
      <c r="AJ135" s="1">
        <f t="shared" si="75"/>
        <v>0</v>
      </c>
      <c r="AK135" s="1">
        <f t="shared" si="76"/>
        <v>0</v>
      </c>
      <c r="AL135" s="1">
        <f t="shared" si="77"/>
        <v>0</v>
      </c>
      <c r="AM135" s="1">
        <f t="shared" si="78"/>
        <v>0</v>
      </c>
      <c r="AN135" s="1">
        <f t="shared" si="79"/>
        <v>0</v>
      </c>
      <c r="AO135" s="1">
        <f t="shared" si="80"/>
        <v>0</v>
      </c>
      <c r="AP135" s="1">
        <f t="shared" si="81"/>
        <v>0</v>
      </c>
      <c r="AQ135" s="1">
        <f t="shared" si="82"/>
        <v>0</v>
      </c>
      <c r="AR135" s="1">
        <f t="shared" si="83"/>
        <v>0</v>
      </c>
      <c r="AS135" s="1">
        <f t="shared" si="84"/>
        <v>0</v>
      </c>
      <c r="AT135" s="1">
        <f t="shared" si="85"/>
        <v>0</v>
      </c>
      <c r="AU135" s="1">
        <f t="shared" si="86"/>
        <v>0</v>
      </c>
      <c r="AV135" s="1">
        <f t="shared" si="87"/>
        <v>0</v>
      </c>
      <c r="AW135" s="1">
        <f t="shared" si="88"/>
        <v>0</v>
      </c>
      <c r="AX135" s="1">
        <f t="shared" si="89"/>
        <v>0</v>
      </c>
      <c r="AY135" s="1">
        <f t="shared" si="90"/>
        <v>0</v>
      </c>
      <c r="AZ135" s="1">
        <f t="shared" si="91"/>
        <v>0</v>
      </c>
      <c r="BA135" s="1">
        <f t="shared" si="92"/>
        <v>0</v>
      </c>
      <c r="BB135" s="1">
        <f t="shared" si="93"/>
        <v>0</v>
      </c>
      <c r="BC135" s="1">
        <f t="shared" si="94"/>
        <v>0</v>
      </c>
      <c r="BD135" s="1">
        <f t="shared" si="95"/>
        <v>0</v>
      </c>
      <c r="BE135" s="1">
        <f t="shared" si="96"/>
        <v>0</v>
      </c>
      <c r="BF135" s="1">
        <f t="shared" si="97"/>
        <v>0</v>
      </c>
      <c r="BG135" s="1">
        <f t="shared" si="98"/>
        <v>0</v>
      </c>
      <c r="BH135" s="1">
        <f t="shared" si="99"/>
        <v>-27</v>
      </c>
      <c r="BI135" s="1">
        <f t="shared" si="100"/>
        <v>0</v>
      </c>
      <c r="BJ135" s="1">
        <f t="shared" si="101"/>
        <v>0</v>
      </c>
      <c r="BK135" s="1">
        <f t="shared" si="102"/>
        <v>0</v>
      </c>
      <c r="BL135" s="1">
        <f t="shared" si="103"/>
        <v>0</v>
      </c>
      <c r="BM135" s="1">
        <f t="shared" si="104"/>
        <v>0</v>
      </c>
      <c r="BN135" s="1">
        <f t="shared" si="105"/>
        <v>0</v>
      </c>
      <c r="BO135" s="1">
        <f t="shared" si="106"/>
        <v>0</v>
      </c>
      <c r="BP135" s="1">
        <f t="shared" si="107"/>
        <v>0</v>
      </c>
      <c r="BQ135" s="1">
        <f t="shared" si="108"/>
        <v>0</v>
      </c>
      <c r="BR135" s="1">
        <f t="shared" si="109"/>
        <v>0</v>
      </c>
      <c r="BS135" s="1">
        <f t="shared" si="110"/>
        <v>0</v>
      </c>
      <c r="BT135" s="1">
        <f t="shared" si="111"/>
        <v>0</v>
      </c>
      <c r="BU135" s="1">
        <f t="shared" si="48"/>
        <v>0</v>
      </c>
      <c r="BV135" s="1">
        <f t="shared" si="112"/>
        <v>0</v>
      </c>
      <c r="BW135" s="1">
        <f t="shared" si="113"/>
        <v>0</v>
      </c>
      <c r="BX135" s="1">
        <f t="shared" si="114"/>
        <v>0</v>
      </c>
      <c r="BY135" s="1">
        <f t="shared" si="115"/>
        <v>0</v>
      </c>
      <c r="BZ135" s="1">
        <f t="shared" si="116"/>
        <v>0</v>
      </c>
      <c r="CA135" s="1">
        <f t="shared" si="117"/>
        <v>0</v>
      </c>
      <c r="CB135" s="1">
        <f t="shared" si="118"/>
        <v>0</v>
      </c>
      <c r="CC135" s="1">
        <f t="shared" si="119"/>
        <v>0</v>
      </c>
      <c r="CD135" s="1">
        <f t="shared" si="120"/>
        <v>0</v>
      </c>
      <c r="CE135" s="1"/>
      <c r="CH135" s="1" t="s">
        <v>68</v>
      </c>
      <c r="CI135" s="1">
        <v>0</v>
      </c>
      <c r="CJ135" s="1">
        <v>0</v>
      </c>
      <c r="CK135" s="1">
        <v>0</v>
      </c>
      <c r="CL135" s="1">
        <v>0</v>
      </c>
      <c r="CM135" s="1">
        <v>0</v>
      </c>
      <c r="CN135" s="1">
        <v>0</v>
      </c>
      <c r="CO135" s="1">
        <v>0</v>
      </c>
      <c r="CP135" s="1">
        <v>0</v>
      </c>
      <c r="CQ135" s="1">
        <v>0</v>
      </c>
      <c r="CR135" s="1">
        <v>0</v>
      </c>
      <c r="CS135" s="1">
        <v>0</v>
      </c>
      <c r="CT135" s="1">
        <v>0</v>
      </c>
      <c r="CU135" s="1">
        <v>0</v>
      </c>
      <c r="CV135" s="1">
        <v>0</v>
      </c>
      <c r="CW135" s="1">
        <v>0</v>
      </c>
      <c r="CX135" s="1">
        <v>0</v>
      </c>
      <c r="CY135" s="1">
        <v>0</v>
      </c>
      <c r="CZ135" s="1">
        <v>0</v>
      </c>
      <c r="DA135" s="1">
        <v>0</v>
      </c>
      <c r="DB135" s="1">
        <v>0</v>
      </c>
      <c r="DC135" s="1">
        <v>0</v>
      </c>
      <c r="DD135" s="1">
        <v>0</v>
      </c>
      <c r="DE135" s="1">
        <v>0</v>
      </c>
      <c r="DF135" s="1">
        <v>0</v>
      </c>
      <c r="DG135" s="1">
        <v>0</v>
      </c>
      <c r="DH135" s="1">
        <v>0</v>
      </c>
      <c r="DI135" s="1">
        <v>0</v>
      </c>
      <c r="DJ135" s="1">
        <v>0</v>
      </c>
      <c r="DK135" s="1">
        <v>0</v>
      </c>
      <c r="DL135" s="1">
        <v>0</v>
      </c>
      <c r="DM135" s="1">
        <v>0</v>
      </c>
      <c r="DN135" s="1">
        <v>0</v>
      </c>
      <c r="DO135" s="1">
        <v>0</v>
      </c>
      <c r="DP135" s="1">
        <v>0</v>
      </c>
      <c r="DQ135" s="1">
        <v>0</v>
      </c>
      <c r="DR135" s="1">
        <v>0</v>
      </c>
      <c r="DS135" s="1">
        <v>0</v>
      </c>
      <c r="DT135" s="1">
        <v>0</v>
      </c>
      <c r="DU135" s="1">
        <v>0</v>
      </c>
      <c r="DV135" s="1">
        <v>0</v>
      </c>
      <c r="DW135" s="1">
        <v>0</v>
      </c>
      <c r="DX135" s="1">
        <v>0</v>
      </c>
      <c r="DY135" s="1">
        <v>0</v>
      </c>
      <c r="DZ135" s="1">
        <v>0</v>
      </c>
      <c r="EA135" s="1">
        <v>0</v>
      </c>
      <c r="EB135" s="1">
        <v>0</v>
      </c>
      <c r="EC135" s="1">
        <v>0</v>
      </c>
      <c r="ED135" s="1">
        <v>0</v>
      </c>
      <c r="EE135" s="1">
        <v>0</v>
      </c>
      <c r="EF135" s="1">
        <v>0</v>
      </c>
      <c r="EG135" s="1">
        <v>0</v>
      </c>
      <c r="EH135" s="1">
        <v>43</v>
      </c>
      <c r="EI135" s="1">
        <v>0</v>
      </c>
      <c r="EJ135" s="1">
        <v>0</v>
      </c>
      <c r="EK135" s="1">
        <v>0</v>
      </c>
      <c r="EL135" s="1">
        <v>0</v>
      </c>
      <c r="EM135" s="1">
        <v>0</v>
      </c>
      <c r="EN135" s="1">
        <v>0</v>
      </c>
      <c r="EO135" s="1">
        <v>0</v>
      </c>
      <c r="EP135" s="1">
        <v>0</v>
      </c>
      <c r="EQ135" s="1">
        <v>0</v>
      </c>
      <c r="ER135" s="1">
        <v>0</v>
      </c>
      <c r="ES135" s="1">
        <v>0</v>
      </c>
      <c r="ET135" s="1">
        <v>0</v>
      </c>
      <c r="EU135" s="1">
        <v>0</v>
      </c>
      <c r="EV135" s="1">
        <v>0</v>
      </c>
      <c r="EW135" s="1">
        <v>0</v>
      </c>
      <c r="EX135" s="1">
        <v>0</v>
      </c>
      <c r="EY135" s="1">
        <v>0</v>
      </c>
      <c r="EZ135" s="1">
        <v>0</v>
      </c>
      <c r="FA135" s="1">
        <v>0</v>
      </c>
      <c r="FB135" s="1">
        <v>0</v>
      </c>
      <c r="FC135" s="1">
        <v>0</v>
      </c>
      <c r="FD135" s="1">
        <v>0</v>
      </c>
      <c r="FE135" s="1">
        <f t="shared" si="46"/>
        <v>43</v>
      </c>
      <c r="FF135" s="1">
        <f>EI157</f>
        <v>35</v>
      </c>
      <c r="FG135" s="1">
        <f t="shared" si="47"/>
        <v>0</v>
      </c>
    </row>
    <row r="136" spans="8:163" ht="15.75" thickBot="1" x14ac:dyDescent="0.3">
      <c r="H136" s="1" t="s">
        <v>69</v>
      </c>
      <c r="I136" s="1">
        <f t="shared" si="45"/>
        <v>0</v>
      </c>
      <c r="J136" s="1">
        <f t="shared" si="49"/>
        <v>0</v>
      </c>
      <c r="K136" s="1">
        <f t="shared" si="50"/>
        <v>0</v>
      </c>
      <c r="L136" s="1">
        <f t="shared" si="51"/>
        <v>0</v>
      </c>
      <c r="M136" s="1">
        <f t="shared" si="52"/>
        <v>0</v>
      </c>
      <c r="N136" s="1">
        <f t="shared" si="53"/>
        <v>0</v>
      </c>
      <c r="O136" s="1">
        <f t="shared" si="54"/>
        <v>0</v>
      </c>
      <c r="P136" s="1">
        <f t="shared" si="55"/>
        <v>0</v>
      </c>
      <c r="Q136" s="1">
        <f t="shared" si="56"/>
        <v>0</v>
      </c>
      <c r="R136" s="1">
        <f t="shared" si="57"/>
        <v>0</v>
      </c>
      <c r="S136" s="1">
        <f t="shared" si="58"/>
        <v>0</v>
      </c>
      <c r="T136" s="1">
        <f t="shared" si="59"/>
        <v>0</v>
      </c>
      <c r="U136" s="1">
        <f t="shared" si="60"/>
        <v>0</v>
      </c>
      <c r="V136" s="1">
        <f t="shared" si="61"/>
        <v>0</v>
      </c>
      <c r="W136" s="1">
        <f t="shared" si="62"/>
        <v>0</v>
      </c>
      <c r="X136" s="1">
        <f t="shared" si="63"/>
        <v>0</v>
      </c>
      <c r="Y136" s="1">
        <f t="shared" si="64"/>
        <v>0</v>
      </c>
      <c r="Z136" s="1">
        <f t="shared" si="65"/>
        <v>0</v>
      </c>
      <c r="AA136" s="1">
        <f t="shared" si="66"/>
        <v>0</v>
      </c>
      <c r="AB136" s="1">
        <f t="shared" si="67"/>
        <v>0</v>
      </c>
      <c r="AC136" s="1">
        <f t="shared" si="68"/>
        <v>0</v>
      </c>
      <c r="AD136" s="1">
        <f t="shared" si="69"/>
        <v>0</v>
      </c>
      <c r="AE136" s="1">
        <f t="shared" si="70"/>
        <v>0</v>
      </c>
      <c r="AF136" s="1">
        <f t="shared" si="71"/>
        <v>0</v>
      </c>
      <c r="AG136" s="1">
        <f t="shared" si="72"/>
        <v>0</v>
      </c>
      <c r="AH136" s="1">
        <f t="shared" si="73"/>
        <v>0</v>
      </c>
      <c r="AI136" s="1">
        <f t="shared" si="74"/>
        <v>0</v>
      </c>
      <c r="AJ136" s="1">
        <f t="shared" si="75"/>
        <v>0</v>
      </c>
      <c r="AK136" s="1">
        <f t="shared" si="76"/>
        <v>0</v>
      </c>
      <c r="AL136" s="1">
        <f t="shared" si="77"/>
        <v>0</v>
      </c>
      <c r="AM136" s="1">
        <f t="shared" si="78"/>
        <v>0</v>
      </c>
      <c r="AN136" s="1">
        <f t="shared" si="79"/>
        <v>0</v>
      </c>
      <c r="AO136" s="1">
        <f t="shared" si="80"/>
        <v>0</v>
      </c>
      <c r="AP136" s="1">
        <f t="shared" si="81"/>
        <v>0</v>
      </c>
      <c r="AQ136" s="1">
        <f t="shared" si="82"/>
        <v>0</v>
      </c>
      <c r="AR136" s="1">
        <f t="shared" si="83"/>
        <v>0</v>
      </c>
      <c r="AS136" s="1">
        <f t="shared" si="84"/>
        <v>0</v>
      </c>
      <c r="AT136" s="1">
        <f t="shared" si="85"/>
        <v>0</v>
      </c>
      <c r="AU136" s="1">
        <f t="shared" si="86"/>
        <v>0</v>
      </c>
      <c r="AV136" s="1">
        <f t="shared" si="87"/>
        <v>0</v>
      </c>
      <c r="AW136" s="1">
        <f t="shared" si="88"/>
        <v>0</v>
      </c>
      <c r="AX136" s="1">
        <f t="shared" si="89"/>
        <v>0</v>
      </c>
      <c r="AY136" s="1">
        <f t="shared" si="90"/>
        <v>0</v>
      </c>
      <c r="AZ136" s="1">
        <f t="shared" si="91"/>
        <v>0</v>
      </c>
      <c r="BA136" s="1">
        <f t="shared" si="92"/>
        <v>0</v>
      </c>
      <c r="BB136" s="1">
        <f t="shared" si="93"/>
        <v>0</v>
      </c>
      <c r="BC136" s="1">
        <f t="shared" si="94"/>
        <v>0</v>
      </c>
      <c r="BD136" s="1">
        <f t="shared" si="95"/>
        <v>0</v>
      </c>
      <c r="BE136" s="1">
        <f t="shared" si="96"/>
        <v>0</v>
      </c>
      <c r="BF136" s="1">
        <f t="shared" si="97"/>
        <v>0</v>
      </c>
      <c r="BG136" s="1">
        <f t="shared" si="98"/>
        <v>-49</v>
      </c>
      <c r="BH136" s="1">
        <f t="shared" si="99"/>
        <v>0</v>
      </c>
      <c r="BI136" s="1">
        <f t="shared" si="100"/>
        <v>0</v>
      </c>
      <c r="BJ136" s="1">
        <f t="shared" si="101"/>
        <v>0</v>
      </c>
      <c r="BK136" s="1">
        <f t="shared" si="102"/>
        <v>0</v>
      </c>
      <c r="BL136" s="1">
        <f t="shared" si="103"/>
        <v>0</v>
      </c>
      <c r="BM136" s="1">
        <f t="shared" si="104"/>
        <v>0</v>
      </c>
      <c r="BN136" s="1">
        <f t="shared" si="105"/>
        <v>0</v>
      </c>
      <c r="BO136" s="1">
        <f t="shared" si="106"/>
        <v>0</v>
      </c>
      <c r="BP136" s="1">
        <f t="shared" si="107"/>
        <v>0</v>
      </c>
      <c r="BQ136" s="1">
        <f t="shared" si="108"/>
        <v>0</v>
      </c>
      <c r="BR136" s="1">
        <f t="shared" si="109"/>
        <v>0</v>
      </c>
      <c r="BS136" s="1">
        <f t="shared" si="110"/>
        <v>0</v>
      </c>
      <c r="BT136" s="1">
        <f t="shared" si="111"/>
        <v>0</v>
      </c>
      <c r="BU136" s="1">
        <f t="shared" si="48"/>
        <v>0</v>
      </c>
      <c r="BV136" s="1">
        <f t="shared" si="112"/>
        <v>0</v>
      </c>
      <c r="BW136" s="1">
        <f t="shared" si="113"/>
        <v>0</v>
      </c>
      <c r="BX136" s="1">
        <f t="shared" si="114"/>
        <v>0</v>
      </c>
      <c r="BY136" s="1">
        <f t="shared" si="115"/>
        <v>0</v>
      </c>
      <c r="BZ136" s="1">
        <f t="shared" si="116"/>
        <v>0</v>
      </c>
      <c r="CA136" s="1">
        <f t="shared" si="117"/>
        <v>0</v>
      </c>
      <c r="CB136" s="1">
        <f t="shared" si="118"/>
        <v>0</v>
      </c>
      <c r="CC136" s="1">
        <f t="shared" si="119"/>
        <v>0</v>
      </c>
      <c r="CD136" s="1">
        <f t="shared" si="120"/>
        <v>0</v>
      </c>
      <c r="CE136" s="1"/>
      <c r="CH136" s="1" t="s">
        <v>69</v>
      </c>
      <c r="CI136" s="1">
        <v>0</v>
      </c>
      <c r="CJ136" s="1">
        <v>0</v>
      </c>
      <c r="CK136" s="1">
        <v>0</v>
      </c>
      <c r="CL136" s="1">
        <v>0</v>
      </c>
      <c r="CM136" s="1">
        <v>0</v>
      </c>
      <c r="CN136" s="1">
        <v>0</v>
      </c>
      <c r="CO136" s="1">
        <v>0</v>
      </c>
      <c r="CP136" s="1">
        <v>0</v>
      </c>
      <c r="CQ136" s="1">
        <v>0</v>
      </c>
      <c r="CR136" s="1">
        <v>0</v>
      </c>
      <c r="CS136" s="1">
        <v>0</v>
      </c>
      <c r="CT136" s="1">
        <v>0</v>
      </c>
      <c r="CU136" s="1">
        <v>0</v>
      </c>
      <c r="CV136" s="1">
        <v>0</v>
      </c>
      <c r="CW136" s="1">
        <v>0</v>
      </c>
      <c r="CX136" s="1">
        <v>0</v>
      </c>
      <c r="CY136" s="1">
        <v>0</v>
      </c>
      <c r="CZ136" s="1">
        <v>0</v>
      </c>
      <c r="DA136" s="1">
        <v>0</v>
      </c>
      <c r="DB136" s="1">
        <v>0</v>
      </c>
      <c r="DC136" s="1">
        <v>0</v>
      </c>
      <c r="DD136" s="1">
        <v>0</v>
      </c>
      <c r="DE136" s="1">
        <v>0</v>
      </c>
      <c r="DF136" s="1">
        <v>0</v>
      </c>
      <c r="DG136" s="1">
        <v>0</v>
      </c>
      <c r="DH136" s="1">
        <v>0</v>
      </c>
      <c r="DI136" s="1">
        <v>0</v>
      </c>
      <c r="DJ136" s="1">
        <v>0</v>
      </c>
      <c r="DK136" s="1">
        <v>0</v>
      </c>
      <c r="DL136" s="1">
        <v>0</v>
      </c>
      <c r="DM136" s="1">
        <v>0</v>
      </c>
      <c r="DN136" s="1">
        <v>0</v>
      </c>
      <c r="DO136" s="1">
        <v>0</v>
      </c>
      <c r="DP136" s="1">
        <v>0</v>
      </c>
      <c r="DQ136" s="1">
        <v>0</v>
      </c>
      <c r="DR136" s="1">
        <v>0</v>
      </c>
      <c r="DS136" s="1">
        <v>0</v>
      </c>
      <c r="DT136" s="1">
        <v>0</v>
      </c>
      <c r="DU136" s="1">
        <v>0</v>
      </c>
      <c r="DV136" s="1">
        <v>0</v>
      </c>
      <c r="DW136" s="1">
        <v>0</v>
      </c>
      <c r="DX136" s="1">
        <v>0</v>
      </c>
      <c r="DY136" s="1">
        <v>0</v>
      </c>
      <c r="DZ136" s="1">
        <v>0</v>
      </c>
      <c r="EA136" s="1">
        <v>0</v>
      </c>
      <c r="EB136" s="1">
        <v>0</v>
      </c>
      <c r="EC136" s="1">
        <v>0</v>
      </c>
      <c r="ED136" s="1">
        <v>0</v>
      </c>
      <c r="EE136" s="1">
        <v>0</v>
      </c>
      <c r="EF136" s="1">
        <v>0</v>
      </c>
      <c r="EG136" s="1">
        <v>21</v>
      </c>
      <c r="EH136" s="1">
        <v>0</v>
      </c>
      <c r="EI136" s="1">
        <v>0</v>
      </c>
      <c r="EJ136" s="1">
        <v>0</v>
      </c>
      <c r="EK136" s="1">
        <v>0</v>
      </c>
      <c r="EL136" s="1">
        <v>0</v>
      </c>
      <c r="EM136" s="1">
        <v>0</v>
      </c>
      <c r="EN136" s="1">
        <v>0</v>
      </c>
      <c r="EO136" s="1">
        <v>0</v>
      </c>
      <c r="EP136" s="1">
        <v>0</v>
      </c>
      <c r="EQ136" s="1">
        <v>0</v>
      </c>
      <c r="ER136" s="1">
        <v>0</v>
      </c>
      <c r="ES136" s="1">
        <v>0</v>
      </c>
      <c r="ET136" s="1">
        <v>0</v>
      </c>
      <c r="EU136" s="1">
        <v>0</v>
      </c>
      <c r="EV136" s="1">
        <v>0</v>
      </c>
      <c r="EW136" s="1">
        <v>0</v>
      </c>
      <c r="EX136" s="1">
        <v>0</v>
      </c>
      <c r="EY136" s="1">
        <v>0</v>
      </c>
      <c r="EZ136" s="1">
        <v>0</v>
      </c>
      <c r="FA136" s="1">
        <v>0</v>
      </c>
      <c r="FB136" s="1">
        <v>0</v>
      </c>
      <c r="FC136" s="1">
        <v>0</v>
      </c>
      <c r="FD136" s="1">
        <v>0</v>
      </c>
      <c r="FE136" s="1">
        <f t="shared" si="46"/>
        <v>21</v>
      </c>
      <c r="FF136" s="1">
        <f>EJ157</f>
        <v>17</v>
      </c>
      <c r="FG136" s="1">
        <f t="shared" si="47"/>
        <v>0</v>
      </c>
    </row>
    <row r="137" spans="8:163" ht="15.75" thickBot="1" x14ac:dyDescent="0.3">
      <c r="H137" s="1" t="s">
        <v>70</v>
      </c>
      <c r="I137" s="1">
        <f t="shared" si="45"/>
        <v>0</v>
      </c>
      <c r="J137" s="1">
        <f t="shared" si="49"/>
        <v>0</v>
      </c>
      <c r="K137" s="1">
        <f t="shared" si="50"/>
        <v>0</v>
      </c>
      <c r="L137" s="1">
        <f t="shared" si="51"/>
        <v>0</v>
      </c>
      <c r="M137" s="1">
        <f t="shared" si="52"/>
        <v>0</v>
      </c>
      <c r="N137" s="1">
        <f t="shared" si="53"/>
        <v>0</v>
      </c>
      <c r="O137" s="1">
        <f t="shared" si="54"/>
        <v>0</v>
      </c>
      <c r="P137" s="1">
        <f t="shared" si="55"/>
        <v>0</v>
      </c>
      <c r="Q137" s="1">
        <f t="shared" si="56"/>
        <v>0</v>
      </c>
      <c r="R137" s="1">
        <f t="shared" si="57"/>
        <v>0</v>
      </c>
      <c r="S137" s="1">
        <f t="shared" si="58"/>
        <v>0</v>
      </c>
      <c r="T137" s="1">
        <f t="shared" si="59"/>
        <v>0</v>
      </c>
      <c r="U137" s="1">
        <f t="shared" si="60"/>
        <v>0</v>
      </c>
      <c r="V137" s="1">
        <f t="shared" si="61"/>
        <v>0</v>
      </c>
      <c r="W137" s="1">
        <f t="shared" si="62"/>
        <v>0</v>
      </c>
      <c r="X137" s="1">
        <f t="shared" si="63"/>
        <v>0</v>
      </c>
      <c r="Y137" s="1">
        <f t="shared" si="64"/>
        <v>0</v>
      </c>
      <c r="Z137" s="1">
        <f t="shared" si="65"/>
        <v>0</v>
      </c>
      <c r="AA137" s="1">
        <f t="shared" si="66"/>
        <v>0</v>
      </c>
      <c r="AB137" s="1">
        <f t="shared" si="67"/>
        <v>0</v>
      </c>
      <c r="AC137" s="1">
        <f t="shared" si="68"/>
        <v>0</v>
      </c>
      <c r="AD137" s="1">
        <f t="shared" si="69"/>
        <v>0</v>
      </c>
      <c r="AE137" s="1">
        <f t="shared" si="70"/>
        <v>0</v>
      </c>
      <c r="AF137" s="1">
        <f t="shared" si="71"/>
        <v>0</v>
      </c>
      <c r="AG137" s="1">
        <f t="shared" si="72"/>
        <v>0</v>
      </c>
      <c r="AH137" s="1">
        <f t="shared" si="73"/>
        <v>0</v>
      </c>
      <c r="AI137" s="1">
        <f t="shared" si="74"/>
        <v>0</v>
      </c>
      <c r="AJ137" s="1">
        <f t="shared" si="75"/>
        <v>0</v>
      </c>
      <c r="AK137" s="1">
        <f t="shared" si="76"/>
        <v>0</v>
      </c>
      <c r="AL137" s="1">
        <f t="shared" si="77"/>
        <v>0</v>
      </c>
      <c r="AM137" s="1">
        <f t="shared" si="78"/>
        <v>0</v>
      </c>
      <c r="AN137" s="1">
        <f t="shared" si="79"/>
        <v>0</v>
      </c>
      <c r="AO137" s="1">
        <f t="shared" si="80"/>
        <v>0</v>
      </c>
      <c r="AP137" s="1">
        <f t="shared" si="81"/>
        <v>0</v>
      </c>
      <c r="AQ137" s="1">
        <f t="shared" si="82"/>
        <v>0</v>
      </c>
      <c r="AR137" s="1">
        <f t="shared" si="83"/>
        <v>0</v>
      </c>
      <c r="AS137" s="1">
        <f t="shared" si="84"/>
        <v>0</v>
      </c>
      <c r="AT137" s="1">
        <f t="shared" si="85"/>
        <v>0</v>
      </c>
      <c r="AU137" s="1">
        <f t="shared" si="86"/>
        <v>0</v>
      </c>
      <c r="AV137" s="1">
        <f t="shared" si="87"/>
        <v>0</v>
      </c>
      <c r="AW137" s="1">
        <f t="shared" si="88"/>
        <v>0</v>
      </c>
      <c r="AX137" s="1">
        <f t="shared" si="89"/>
        <v>0</v>
      </c>
      <c r="AY137" s="1">
        <f t="shared" si="90"/>
        <v>0</v>
      </c>
      <c r="AZ137" s="1">
        <f t="shared" si="91"/>
        <v>0</v>
      </c>
      <c r="BA137" s="1">
        <f t="shared" si="92"/>
        <v>0</v>
      </c>
      <c r="BB137" s="1">
        <f t="shared" si="93"/>
        <v>0</v>
      </c>
      <c r="BC137" s="1">
        <f t="shared" si="94"/>
        <v>0</v>
      </c>
      <c r="BD137" s="1">
        <f t="shared" si="95"/>
        <v>0</v>
      </c>
      <c r="BE137" s="1">
        <f t="shared" si="96"/>
        <v>0</v>
      </c>
      <c r="BF137" s="1">
        <f t="shared" si="97"/>
        <v>-47</v>
      </c>
      <c r="BG137" s="1">
        <f t="shared" si="98"/>
        <v>0</v>
      </c>
      <c r="BH137" s="1">
        <f t="shared" si="99"/>
        <v>0</v>
      </c>
      <c r="BI137" s="1">
        <f t="shared" si="100"/>
        <v>0</v>
      </c>
      <c r="BJ137" s="1">
        <f t="shared" si="101"/>
        <v>0</v>
      </c>
      <c r="BK137" s="1">
        <f t="shared" si="102"/>
        <v>0</v>
      </c>
      <c r="BL137" s="1">
        <f t="shared" si="103"/>
        <v>0</v>
      </c>
      <c r="BM137" s="1">
        <f t="shared" si="104"/>
        <v>0</v>
      </c>
      <c r="BN137" s="1">
        <f t="shared" si="105"/>
        <v>0</v>
      </c>
      <c r="BO137" s="1">
        <f t="shared" si="106"/>
        <v>0</v>
      </c>
      <c r="BP137" s="1">
        <f t="shared" si="107"/>
        <v>0</v>
      </c>
      <c r="BQ137" s="1">
        <f t="shared" si="108"/>
        <v>0</v>
      </c>
      <c r="BR137" s="1">
        <f t="shared" si="109"/>
        <v>0</v>
      </c>
      <c r="BS137" s="1">
        <f t="shared" si="110"/>
        <v>0</v>
      </c>
      <c r="BT137" s="1">
        <f t="shared" si="111"/>
        <v>0</v>
      </c>
      <c r="BU137" s="1">
        <f t="shared" si="48"/>
        <v>0</v>
      </c>
      <c r="BV137" s="1">
        <f t="shared" si="112"/>
        <v>0</v>
      </c>
      <c r="BW137" s="1">
        <f t="shared" si="113"/>
        <v>0</v>
      </c>
      <c r="BX137" s="1">
        <f t="shared" si="114"/>
        <v>0</v>
      </c>
      <c r="BY137" s="1">
        <f t="shared" si="115"/>
        <v>0</v>
      </c>
      <c r="BZ137" s="1">
        <f t="shared" si="116"/>
        <v>0</v>
      </c>
      <c r="CA137" s="1">
        <f t="shared" si="117"/>
        <v>0</v>
      </c>
      <c r="CB137" s="1">
        <f t="shared" si="118"/>
        <v>0</v>
      </c>
      <c r="CC137" s="1">
        <f t="shared" si="119"/>
        <v>0</v>
      </c>
      <c r="CD137" s="1">
        <f t="shared" si="120"/>
        <v>0</v>
      </c>
      <c r="CE137" s="1"/>
      <c r="CH137" s="1" t="s">
        <v>70</v>
      </c>
      <c r="CI137" s="1">
        <v>0</v>
      </c>
      <c r="CJ137" s="1">
        <v>0</v>
      </c>
      <c r="CK137" s="1">
        <v>0</v>
      </c>
      <c r="CL137" s="1">
        <v>0</v>
      </c>
      <c r="CM137" s="1">
        <v>0</v>
      </c>
      <c r="CN137" s="1">
        <v>0</v>
      </c>
      <c r="CO137" s="1">
        <v>0</v>
      </c>
      <c r="CP137" s="1">
        <v>0</v>
      </c>
      <c r="CQ137" s="1">
        <v>0</v>
      </c>
      <c r="CR137" s="1">
        <v>0</v>
      </c>
      <c r="CS137" s="1">
        <v>0</v>
      </c>
      <c r="CT137" s="1">
        <v>0</v>
      </c>
      <c r="CU137" s="1">
        <v>0</v>
      </c>
      <c r="CV137" s="1">
        <v>0</v>
      </c>
      <c r="CW137" s="1">
        <v>0</v>
      </c>
      <c r="CX137" s="1">
        <v>0</v>
      </c>
      <c r="CY137" s="1">
        <v>0</v>
      </c>
      <c r="CZ137" s="1">
        <v>0</v>
      </c>
      <c r="DA137" s="1">
        <v>0</v>
      </c>
      <c r="DB137" s="1">
        <v>0</v>
      </c>
      <c r="DC137" s="1">
        <v>0</v>
      </c>
      <c r="DD137" s="1">
        <v>0</v>
      </c>
      <c r="DE137" s="1">
        <v>0</v>
      </c>
      <c r="DF137" s="1">
        <v>0</v>
      </c>
      <c r="DG137" s="1">
        <v>0</v>
      </c>
      <c r="DH137" s="1">
        <v>0</v>
      </c>
      <c r="DI137" s="1">
        <v>0</v>
      </c>
      <c r="DJ137" s="1">
        <v>0</v>
      </c>
      <c r="DK137" s="1">
        <v>0</v>
      </c>
      <c r="DL137" s="1">
        <v>0</v>
      </c>
      <c r="DM137" s="1">
        <v>0</v>
      </c>
      <c r="DN137" s="1">
        <v>0</v>
      </c>
      <c r="DO137" s="1">
        <v>0</v>
      </c>
      <c r="DP137" s="1">
        <v>0</v>
      </c>
      <c r="DQ137" s="1">
        <v>0</v>
      </c>
      <c r="DR137" s="1">
        <v>0</v>
      </c>
      <c r="DS137" s="1">
        <v>0</v>
      </c>
      <c r="DT137" s="1">
        <v>0</v>
      </c>
      <c r="DU137" s="1">
        <v>0</v>
      </c>
      <c r="DV137" s="1">
        <v>0</v>
      </c>
      <c r="DW137" s="1">
        <v>0</v>
      </c>
      <c r="DX137" s="1">
        <v>0</v>
      </c>
      <c r="DY137" s="1">
        <v>0</v>
      </c>
      <c r="DZ137" s="1">
        <v>0</v>
      </c>
      <c r="EA137" s="1">
        <v>0</v>
      </c>
      <c r="EB137" s="1">
        <v>0</v>
      </c>
      <c r="EC137" s="1">
        <v>0</v>
      </c>
      <c r="ED137" s="1">
        <v>0</v>
      </c>
      <c r="EE137" s="1">
        <v>0</v>
      </c>
      <c r="EF137" s="1">
        <v>23</v>
      </c>
      <c r="EG137" s="1">
        <v>0</v>
      </c>
      <c r="EH137" s="1">
        <v>0</v>
      </c>
      <c r="EI137" s="1">
        <v>0</v>
      </c>
      <c r="EJ137" s="1">
        <v>0</v>
      </c>
      <c r="EK137" s="1">
        <v>0</v>
      </c>
      <c r="EL137" s="1">
        <v>0</v>
      </c>
      <c r="EM137" s="1">
        <v>0</v>
      </c>
      <c r="EN137" s="1">
        <v>0</v>
      </c>
      <c r="EO137" s="1">
        <v>0</v>
      </c>
      <c r="EP137" s="1">
        <v>0</v>
      </c>
      <c r="EQ137" s="1">
        <v>0</v>
      </c>
      <c r="ER137" s="1">
        <v>0</v>
      </c>
      <c r="ES137" s="1">
        <v>0</v>
      </c>
      <c r="ET137" s="1">
        <v>0</v>
      </c>
      <c r="EU137" s="1">
        <v>0</v>
      </c>
      <c r="EV137" s="1">
        <v>0</v>
      </c>
      <c r="EW137" s="1">
        <v>0</v>
      </c>
      <c r="EX137" s="1">
        <v>0</v>
      </c>
      <c r="EY137" s="1">
        <v>0</v>
      </c>
      <c r="EZ137" s="1">
        <v>0</v>
      </c>
      <c r="FA137" s="1">
        <v>0</v>
      </c>
      <c r="FB137" s="1">
        <v>0</v>
      </c>
      <c r="FC137" s="1">
        <v>0</v>
      </c>
      <c r="FD137" s="1">
        <v>0</v>
      </c>
      <c r="FE137" s="1">
        <f t="shared" si="46"/>
        <v>23</v>
      </c>
      <c r="FF137" s="1">
        <f>EK157</f>
        <v>12</v>
      </c>
      <c r="FG137" s="1">
        <f t="shared" si="47"/>
        <v>0</v>
      </c>
    </row>
    <row r="138" spans="8:163" ht="15.75" thickBot="1" x14ac:dyDescent="0.3">
      <c r="H138" s="1" t="s">
        <v>71</v>
      </c>
      <c r="I138" s="1">
        <f t="shared" si="45"/>
        <v>0</v>
      </c>
      <c r="J138" s="1">
        <f t="shared" si="49"/>
        <v>0</v>
      </c>
      <c r="K138" s="1">
        <f t="shared" si="50"/>
        <v>0</v>
      </c>
      <c r="L138" s="1">
        <f t="shared" si="51"/>
        <v>0</v>
      </c>
      <c r="M138" s="1">
        <f t="shared" si="52"/>
        <v>0</v>
      </c>
      <c r="N138" s="1">
        <f t="shared" si="53"/>
        <v>0</v>
      </c>
      <c r="O138" s="1">
        <f t="shared" si="54"/>
        <v>0</v>
      </c>
      <c r="P138" s="1">
        <f t="shared" si="55"/>
        <v>0</v>
      </c>
      <c r="Q138" s="1">
        <f t="shared" si="56"/>
        <v>0</v>
      </c>
      <c r="R138" s="1">
        <f t="shared" si="57"/>
        <v>0</v>
      </c>
      <c r="S138" s="1">
        <f t="shared" si="58"/>
        <v>-3</v>
      </c>
      <c r="T138" s="1">
        <f t="shared" si="59"/>
        <v>0</v>
      </c>
      <c r="U138" s="1">
        <f t="shared" si="60"/>
        <v>0</v>
      </c>
      <c r="V138" s="1">
        <f t="shared" si="61"/>
        <v>0</v>
      </c>
      <c r="W138" s="1">
        <f t="shared" si="62"/>
        <v>0</v>
      </c>
      <c r="X138" s="1">
        <f t="shared" si="63"/>
        <v>0</v>
      </c>
      <c r="Y138" s="1">
        <f t="shared" si="64"/>
        <v>0</v>
      </c>
      <c r="Z138" s="1">
        <f t="shared" si="65"/>
        <v>0</v>
      </c>
      <c r="AA138" s="1">
        <f t="shared" si="66"/>
        <v>0</v>
      </c>
      <c r="AB138" s="1">
        <f t="shared" si="67"/>
        <v>0</v>
      </c>
      <c r="AC138" s="1">
        <f t="shared" si="68"/>
        <v>0</v>
      </c>
      <c r="AD138" s="1">
        <f t="shared" si="69"/>
        <v>0</v>
      </c>
      <c r="AE138" s="1">
        <f t="shared" si="70"/>
        <v>0</v>
      </c>
      <c r="AF138" s="1">
        <f t="shared" si="71"/>
        <v>0</v>
      </c>
      <c r="AG138" s="1">
        <f t="shared" si="72"/>
        <v>0</v>
      </c>
      <c r="AH138" s="1">
        <f t="shared" si="73"/>
        <v>0</v>
      </c>
      <c r="AI138" s="1">
        <f t="shared" si="74"/>
        <v>0</v>
      </c>
      <c r="AJ138" s="1">
        <f t="shared" si="75"/>
        <v>0</v>
      </c>
      <c r="AK138" s="1">
        <f t="shared" si="76"/>
        <v>0</v>
      </c>
      <c r="AL138" s="1">
        <f t="shared" si="77"/>
        <v>0</v>
      </c>
      <c r="AM138" s="1">
        <f t="shared" si="78"/>
        <v>0</v>
      </c>
      <c r="AN138" s="1">
        <f t="shared" si="79"/>
        <v>0</v>
      </c>
      <c r="AO138" s="1">
        <f t="shared" si="80"/>
        <v>0</v>
      </c>
      <c r="AP138" s="1">
        <f t="shared" si="81"/>
        <v>0</v>
      </c>
      <c r="AQ138" s="1">
        <f t="shared" si="82"/>
        <v>0</v>
      </c>
      <c r="AR138" s="1">
        <f t="shared" si="83"/>
        <v>0</v>
      </c>
      <c r="AS138" s="1">
        <f t="shared" si="84"/>
        <v>0</v>
      </c>
      <c r="AT138" s="1">
        <f t="shared" si="85"/>
        <v>0</v>
      </c>
      <c r="AU138" s="1">
        <f t="shared" si="86"/>
        <v>0</v>
      </c>
      <c r="AV138" s="1">
        <f t="shared" si="87"/>
        <v>0</v>
      </c>
      <c r="AW138" s="1">
        <f t="shared" si="88"/>
        <v>0</v>
      </c>
      <c r="AX138" s="1">
        <f t="shared" si="89"/>
        <v>0</v>
      </c>
      <c r="AY138" s="1">
        <f t="shared" si="90"/>
        <v>0</v>
      </c>
      <c r="AZ138" s="1">
        <f t="shared" si="91"/>
        <v>0</v>
      </c>
      <c r="BA138" s="1">
        <f t="shared" si="92"/>
        <v>0</v>
      </c>
      <c r="BB138" s="1">
        <f t="shared" si="93"/>
        <v>0</v>
      </c>
      <c r="BC138" s="1">
        <f t="shared" si="94"/>
        <v>0</v>
      </c>
      <c r="BD138" s="1">
        <f t="shared" si="95"/>
        <v>0</v>
      </c>
      <c r="BE138" s="1">
        <f t="shared" si="96"/>
        <v>0</v>
      </c>
      <c r="BF138" s="1">
        <f t="shared" si="97"/>
        <v>0</v>
      </c>
      <c r="BG138" s="1">
        <f t="shared" si="98"/>
        <v>0</v>
      </c>
      <c r="BH138" s="1">
        <f t="shared" si="99"/>
        <v>0</v>
      </c>
      <c r="BI138" s="1">
        <f t="shared" si="100"/>
        <v>0</v>
      </c>
      <c r="BJ138" s="1">
        <f t="shared" si="101"/>
        <v>0</v>
      </c>
      <c r="BK138" s="1">
        <f t="shared" si="102"/>
        <v>0</v>
      </c>
      <c r="BL138" s="1">
        <f t="shared" si="103"/>
        <v>0</v>
      </c>
      <c r="BM138" s="1">
        <f t="shared" si="104"/>
        <v>0</v>
      </c>
      <c r="BN138" s="1">
        <f t="shared" si="105"/>
        <v>0</v>
      </c>
      <c r="BO138" s="1">
        <f t="shared" si="106"/>
        <v>0</v>
      </c>
      <c r="BP138" s="1">
        <f t="shared" si="107"/>
        <v>0</v>
      </c>
      <c r="BQ138" s="1">
        <f t="shared" si="108"/>
        <v>0</v>
      </c>
      <c r="BR138" s="1">
        <f t="shared" si="109"/>
        <v>0</v>
      </c>
      <c r="BS138" s="1">
        <f t="shared" si="110"/>
        <v>0</v>
      </c>
      <c r="BT138" s="1">
        <f t="shared" si="111"/>
        <v>0</v>
      </c>
      <c r="BU138" s="1">
        <f t="shared" si="48"/>
        <v>0</v>
      </c>
      <c r="BV138" s="1">
        <f t="shared" si="112"/>
        <v>0</v>
      </c>
      <c r="BW138" s="1">
        <f t="shared" si="113"/>
        <v>0</v>
      </c>
      <c r="BX138" s="1">
        <f t="shared" si="114"/>
        <v>0</v>
      </c>
      <c r="BY138" s="1">
        <f t="shared" si="115"/>
        <v>0</v>
      </c>
      <c r="BZ138" s="1">
        <f t="shared" si="116"/>
        <v>0</v>
      </c>
      <c r="CA138" s="1">
        <f t="shared" si="117"/>
        <v>0</v>
      </c>
      <c r="CB138" s="1">
        <f t="shared" si="118"/>
        <v>0</v>
      </c>
      <c r="CC138" s="1">
        <f t="shared" si="119"/>
        <v>0</v>
      </c>
      <c r="CD138" s="1">
        <f t="shared" si="120"/>
        <v>0</v>
      </c>
      <c r="CE138" s="1"/>
      <c r="CH138" s="1" t="s">
        <v>71</v>
      </c>
      <c r="CI138" s="1">
        <v>0</v>
      </c>
      <c r="CJ138" s="1">
        <v>0</v>
      </c>
      <c r="CK138" s="1">
        <v>0</v>
      </c>
      <c r="CL138" s="1">
        <v>0</v>
      </c>
      <c r="CM138" s="1">
        <v>0</v>
      </c>
      <c r="CN138" s="1">
        <v>0</v>
      </c>
      <c r="CO138" s="1">
        <v>0</v>
      </c>
      <c r="CP138" s="1">
        <v>0</v>
      </c>
      <c r="CQ138" s="1">
        <v>0</v>
      </c>
      <c r="CR138" s="1">
        <v>0</v>
      </c>
      <c r="CS138" s="1">
        <v>67</v>
      </c>
      <c r="CT138" s="1">
        <v>0</v>
      </c>
      <c r="CU138" s="1">
        <v>0</v>
      </c>
      <c r="CV138" s="1">
        <v>0</v>
      </c>
      <c r="CW138" s="1">
        <v>0</v>
      </c>
      <c r="CX138" s="1">
        <v>0</v>
      </c>
      <c r="CY138" s="1">
        <v>0</v>
      </c>
      <c r="CZ138" s="1">
        <v>0</v>
      </c>
      <c r="DA138" s="1">
        <v>0</v>
      </c>
      <c r="DB138" s="1">
        <v>0</v>
      </c>
      <c r="DC138" s="1">
        <v>0</v>
      </c>
      <c r="DD138" s="1">
        <v>0</v>
      </c>
      <c r="DE138" s="1">
        <v>0</v>
      </c>
      <c r="DF138" s="1">
        <v>0</v>
      </c>
      <c r="DG138" s="1">
        <v>0</v>
      </c>
      <c r="DH138" s="1">
        <v>0</v>
      </c>
      <c r="DI138" s="1">
        <v>0</v>
      </c>
      <c r="DJ138" s="1">
        <v>0</v>
      </c>
      <c r="DK138" s="1">
        <v>0</v>
      </c>
      <c r="DL138" s="1">
        <v>0</v>
      </c>
      <c r="DM138" s="1">
        <v>0</v>
      </c>
      <c r="DN138" s="1">
        <v>0</v>
      </c>
      <c r="DO138" s="1">
        <v>0</v>
      </c>
      <c r="DP138" s="1">
        <v>0</v>
      </c>
      <c r="DQ138" s="1">
        <v>0</v>
      </c>
      <c r="DR138" s="1">
        <v>0</v>
      </c>
      <c r="DS138" s="1">
        <v>0</v>
      </c>
      <c r="DT138" s="1">
        <v>0</v>
      </c>
      <c r="DU138" s="1">
        <v>0</v>
      </c>
      <c r="DV138" s="1">
        <v>0</v>
      </c>
      <c r="DW138" s="1">
        <v>0</v>
      </c>
      <c r="DX138" s="1">
        <v>0</v>
      </c>
      <c r="DY138" s="1">
        <v>0</v>
      </c>
      <c r="DZ138" s="1">
        <v>0</v>
      </c>
      <c r="EA138" s="1">
        <v>0</v>
      </c>
      <c r="EB138" s="1">
        <v>0</v>
      </c>
      <c r="EC138" s="1">
        <v>0</v>
      </c>
      <c r="ED138" s="1">
        <v>0</v>
      </c>
      <c r="EE138" s="1">
        <v>0</v>
      </c>
      <c r="EF138" s="1">
        <v>0</v>
      </c>
      <c r="EG138" s="1">
        <v>0</v>
      </c>
      <c r="EH138" s="1">
        <v>0</v>
      </c>
      <c r="EI138" s="1">
        <v>0</v>
      </c>
      <c r="EJ138" s="1">
        <v>0</v>
      </c>
      <c r="EK138" s="1">
        <v>0</v>
      </c>
      <c r="EL138" s="1">
        <v>0</v>
      </c>
      <c r="EM138" s="1">
        <v>0</v>
      </c>
      <c r="EN138" s="1">
        <v>0</v>
      </c>
      <c r="EO138" s="1">
        <v>0</v>
      </c>
      <c r="EP138" s="1">
        <v>0</v>
      </c>
      <c r="EQ138" s="1">
        <v>0</v>
      </c>
      <c r="ER138" s="1">
        <v>0</v>
      </c>
      <c r="ES138" s="1">
        <v>0</v>
      </c>
      <c r="ET138" s="1">
        <v>0</v>
      </c>
      <c r="EU138" s="1">
        <v>0</v>
      </c>
      <c r="EV138" s="1">
        <v>0</v>
      </c>
      <c r="EW138" s="1">
        <v>0</v>
      </c>
      <c r="EX138" s="1">
        <v>0</v>
      </c>
      <c r="EY138" s="1">
        <v>0</v>
      </c>
      <c r="EZ138" s="1">
        <v>0</v>
      </c>
      <c r="FA138" s="1">
        <v>0</v>
      </c>
      <c r="FB138" s="1">
        <v>0</v>
      </c>
      <c r="FC138" s="1">
        <v>0</v>
      </c>
      <c r="FD138" s="1">
        <v>0</v>
      </c>
      <c r="FE138" s="1">
        <f t="shared" si="46"/>
        <v>67</v>
      </c>
      <c r="FF138" s="1">
        <f>EL157</f>
        <v>59</v>
      </c>
      <c r="FG138" s="1">
        <f t="shared" si="47"/>
        <v>0</v>
      </c>
    </row>
    <row r="139" spans="8:163" ht="15.75" thickBot="1" x14ac:dyDescent="0.3">
      <c r="H139" s="1" t="s">
        <v>72</v>
      </c>
      <c r="I139" s="1">
        <f t="shared" si="45"/>
        <v>0</v>
      </c>
      <c r="J139" s="1">
        <f t="shared" si="49"/>
        <v>0</v>
      </c>
      <c r="K139" s="1">
        <f t="shared" si="50"/>
        <v>0</v>
      </c>
      <c r="L139" s="1">
        <f t="shared" si="51"/>
        <v>0</v>
      </c>
      <c r="M139" s="1">
        <f t="shared" si="52"/>
        <v>0</v>
      </c>
      <c r="N139" s="1">
        <f t="shared" si="53"/>
        <v>0</v>
      </c>
      <c r="O139" s="1">
        <f t="shared" si="54"/>
        <v>0</v>
      </c>
      <c r="P139" s="1">
        <f t="shared" si="55"/>
        <v>0</v>
      </c>
      <c r="Q139" s="1">
        <f t="shared" si="56"/>
        <v>0</v>
      </c>
      <c r="R139" s="1">
        <f t="shared" si="57"/>
        <v>0</v>
      </c>
      <c r="S139" s="1">
        <f t="shared" si="58"/>
        <v>0</v>
      </c>
      <c r="T139" s="1">
        <f t="shared" si="59"/>
        <v>0</v>
      </c>
      <c r="U139" s="1">
        <f t="shared" si="60"/>
        <v>0</v>
      </c>
      <c r="V139" s="1">
        <f t="shared" si="61"/>
        <v>0</v>
      </c>
      <c r="W139" s="1">
        <f t="shared" si="62"/>
        <v>0</v>
      </c>
      <c r="X139" s="1">
        <f t="shared" si="63"/>
        <v>0</v>
      </c>
      <c r="Y139" s="1">
        <f t="shared" si="64"/>
        <v>0</v>
      </c>
      <c r="Z139" s="1">
        <f t="shared" si="65"/>
        <v>0</v>
      </c>
      <c r="AA139" s="1">
        <f t="shared" si="66"/>
        <v>0</v>
      </c>
      <c r="AB139" s="1">
        <f t="shared" si="67"/>
        <v>0</v>
      </c>
      <c r="AC139" s="1">
        <f t="shared" si="68"/>
        <v>0</v>
      </c>
      <c r="AD139" s="1">
        <f t="shared" si="69"/>
        <v>0</v>
      </c>
      <c r="AE139" s="1">
        <f t="shared" si="70"/>
        <v>0</v>
      </c>
      <c r="AF139" s="1">
        <f t="shared" si="71"/>
        <v>0</v>
      </c>
      <c r="AG139" s="1">
        <f t="shared" si="72"/>
        <v>0</v>
      </c>
      <c r="AH139" s="1">
        <f t="shared" si="73"/>
        <v>0</v>
      </c>
      <c r="AI139" s="1">
        <f t="shared" si="74"/>
        <v>0</v>
      </c>
      <c r="AJ139" s="1">
        <f t="shared" si="75"/>
        <v>0</v>
      </c>
      <c r="AK139" s="1">
        <f t="shared" si="76"/>
        <v>0</v>
      </c>
      <c r="AL139" s="1">
        <f t="shared" si="77"/>
        <v>0</v>
      </c>
      <c r="AM139" s="1">
        <f t="shared" si="78"/>
        <v>0</v>
      </c>
      <c r="AN139" s="1">
        <f t="shared" si="79"/>
        <v>0</v>
      </c>
      <c r="AO139" s="1">
        <f t="shared" si="80"/>
        <v>0</v>
      </c>
      <c r="AP139" s="1">
        <f t="shared" si="81"/>
        <v>0</v>
      </c>
      <c r="AQ139" s="1">
        <f t="shared" si="82"/>
        <v>0</v>
      </c>
      <c r="AR139" s="1">
        <f t="shared" si="83"/>
        <v>0</v>
      </c>
      <c r="AS139" s="1">
        <f t="shared" si="84"/>
        <v>0</v>
      </c>
      <c r="AT139" s="1">
        <f t="shared" si="85"/>
        <v>0</v>
      </c>
      <c r="AU139" s="1">
        <f t="shared" si="86"/>
        <v>0</v>
      </c>
      <c r="AV139" s="1">
        <f t="shared" si="87"/>
        <v>0</v>
      </c>
      <c r="AW139" s="1">
        <f t="shared" si="88"/>
        <v>0</v>
      </c>
      <c r="AX139" s="1">
        <f t="shared" si="89"/>
        <v>0</v>
      </c>
      <c r="AY139" s="1">
        <f t="shared" si="90"/>
        <v>0</v>
      </c>
      <c r="AZ139" s="1">
        <f t="shared" si="91"/>
        <v>0</v>
      </c>
      <c r="BA139" s="1">
        <f t="shared" si="92"/>
        <v>0</v>
      </c>
      <c r="BB139" s="1">
        <f t="shared" si="93"/>
        <v>0</v>
      </c>
      <c r="BC139" s="1">
        <f t="shared" si="94"/>
        <v>0</v>
      </c>
      <c r="BD139" s="1">
        <f t="shared" si="95"/>
        <v>0</v>
      </c>
      <c r="BE139" s="1">
        <f t="shared" si="96"/>
        <v>0</v>
      </c>
      <c r="BF139" s="1">
        <f t="shared" si="97"/>
        <v>0</v>
      </c>
      <c r="BG139" s="1">
        <f t="shared" si="98"/>
        <v>0</v>
      </c>
      <c r="BH139" s="1">
        <f t="shared" si="99"/>
        <v>0</v>
      </c>
      <c r="BI139" s="1">
        <f t="shared" si="100"/>
        <v>0</v>
      </c>
      <c r="BJ139" s="1">
        <f t="shared" si="101"/>
        <v>0</v>
      </c>
      <c r="BK139" s="1">
        <f t="shared" si="102"/>
        <v>0</v>
      </c>
      <c r="BL139" s="1">
        <f t="shared" si="103"/>
        <v>0</v>
      </c>
      <c r="BM139" s="1">
        <f t="shared" si="104"/>
        <v>0</v>
      </c>
      <c r="BN139" s="1">
        <f t="shared" si="105"/>
        <v>-33</v>
      </c>
      <c r="BO139" s="1">
        <f t="shared" si="106"/>
        <v>0</v>
      </c>
      <c r="BP139" s="1">
        <f t="shared" si="107"/>
        <v>0</v>
      </c>
      <c r="BQ139" s="1">
        <f t="shared" si="108"/>
        <v>0</v>
      </c>
      <c r="BR139" s="1">
        <f t="shared" si="109"/>
        <v>0</v>
      </c>
      <c r="BS139" s="1">
        <f t="shared" si="110"/>
        <v>0</v>
      </c>
      <c r="BT139" s="1">
        <f t="shared" si="111"/>
        <v>0</v>
      </c>
      <c r="BU139" s="1">
        <f t="shared" si="48"/>
        <v>0</v>
      </c>
      <c r="BV139" s="1">
        <f t="shared" si="112"/>
        <v>0</v>
      </c>
      <c r="BW139" s="1">
        <f t="shared" si="113"/>
        <v>0</v>
      </c>
      <c r="BX139" s="1">
        <f t="shared" si="114"/>
        <v>0</v>
      </c>
      <c r="BY139" s="1">
        <f t="shared" si="115"/>
        <v>0</v>
      </c>
      <c r="BZ139" s="1">
        <f t="shared" si="116"/>
        <v>0</v>
      </c>
      <c r="CA139" s="1">
        <f t="shared" si="117"/>
        <v>0</v>
      </c>
      <c r="CB139" s="1">
        <f t="shared" si="118"/>
        <v>0</v>
      </c>
      <c r="CC139" s="1">
        <f t="shared" si="119"/>
        <v>0</v>
      </c>
      <c r="CD139" s="1">
        <f t="shared" si="120"/>
        <v>0</v>
      </c>
      <c r="CE139" s="1"/>
      <c r="CH139" s="1" t="s">
        <v>72</v>
      </c>
      <c r="CI139" s="1">
        <v>0</v>
      </c>
      <c r="CJ139" s="1">
        <v>0</v>
      </c>
      <c r="CK139" s="1">
        <v>0</v>
      </c>
      <c r="CL139" s="1">
        <v>0</v>
      </c>
      <c r="CM139" s="1">
        <v>0</v>
      </c>
      <c r="CN139" s="1">
        <v>0</v>
      </c>
      <c r="CO139" s="1">
        <v>0</v>
      </c>
      <c r="CP139" s="1">
        <v>0</v>
      </c>
      <c r="CQ139" s="1">
        <v>0</v>
      </c>
      <c r="CR139" s="1">
        <v>0</v>
      </c>
      <c r="CS139" s="1">
        <v>0</v>
      </c>
      <c r="CT139" s="1">
        <v>0</v>
      </c>
      <c r="CU139" s="1">
        <v>0</v>
      </c>
      <c r="CV139" s="1">
        <v>0</v>
      </c>
      <c r="CW139" s="1">
        <v>0</v>
      </c>
      <c r="CX139" s="1">
        <v>0</v>
      </c>
      <c r="CY139" s="1">
        <v>0</v>
      </c>
      <c r="CZ139" s="1">
        <v>0</v>
      </c>
      <c r="DA139" s="1">
        <v>0</v>
      </c>
      <c r="DB139" s="1">
        <v>0</v>
      </c>
      <c r="DC139" s="1">
        <v>0</v>
      </c>
      <c r="DD139" s="1">
        <v>0</v>
      </c>
      <c r="DE139" s="1">
        <v>0</v>
      </c>
      <c r="DF139" s="1">
        <v>0</v>
      </c>
      <c r="DG139" s="1">
        <v>0</v>
      </c>
      <c r="DH139" s="1">
        <v>0</v>
      </c>
      <c r="DI139" s="1">
        <v>0</v>
      </c>
      <c r="DJ139" s="1">
        <v>0</v>
      </c>
      <c r="DK139" s="1">
        <v>0</v>
      </c>
      <c r="DL139" s="1">
        <v>0</v>
      </c>
      <c r="DM139" s="1">
        <v>0</v>
      </c>
      <c r="DN139" s="1">
        <v>0</v>
      </c>
      <c r="DO139" s="1">
        <v>0</v>
      </c>
      <c r="DP139" s="1">
        <v>0</v>
      </c>
      <c r="DQ139" s="1">
        <v>0</v>
      </c>
      <c r="DR139" s="1">
        <v>0</v>
      </c>
      <c r="DS139" s="1">
        <v>0</v>
      </c>
      <c r="DT139" s="1">
        <v>0</v>
      </c>
      <c r="DU139" s="1">
        <v>0</v>
      </c>
      <c r="DV139" s="1">
        <v>0</v>
      </c>
      <c r="DW139" s="1">
        <v>0</v>
      </c>
      <c r="DX139" s="1">
        <v>0</v>
      </c>
      <c r="DY139" s="1">
        <v>0</v>
      </c>
      <c r="DZ139" s="1">
        <v>0</v>
      </c>
      <c r="EA139" s="1">
        <v>0</v>
      </c>
      <c r="EB139" s="1">
        <v>0</v>
      </c>
      <c r="EC139" s="1">
        <v>0</v>
      </c>
      <c r="ED139" s="1">
        <v>0</v>
      </c>
      <c r="EE139" s="1">
        <v>0</v>
      </c>
      <c r="EF139" s="1">
        <v>0</v>
      </c>
      <c r="EG139" s="1">
        <v>0</v>
      </c>
      <c r="EH139" s="1">
        <v>0</v>
      </c>
      <c r="EI139" s="1">
        <v>0</v>
      </c>
      <c r="EJ139" s="1">
        <v>0</v>
      </c>
      <c r="EK139" s="1">
        <v>0</v>
      </c>
      <c r="EL139" s="1">
        <v>0</v>
      </c>
      <c r="EM139" s="1">
        <v>0</v>
      </c>
      <c r="EN139" s="1">
        <v>37</v>
      </c>
      <c r="EO139" s="1">
        <v>0</v>
      </c>
      <c r="EP139" s="1">
        <v>0</v>
      </c>
      <c r="EQ139" s="1">
        <v>0</v>
      </c>
      <c r="ER139" s="1">
        <v>0</v>
      </c>
      <c r="ES139" s="1">
        <v>0</v>
      </c>
      <c r="ET139" s="1">
        <v>0</v>
      </c>
      <c r="EU139" s="1">
        <v>0</v>
      </c>
      <c r="EV139" s="1">
        <v>0</v>
      </c>
      <c r="EW139" s="1">
        <v>0</v>
      </c>
      <c r="EX139" s="1">
        <v>0</v>
      </c>
      <c r="EY139" s="1">
        <v>0</v>
      </c>
      <c r="EZ139" s="1">
        <v>0</v>
      </c>
      <c r="FA139" s="1">
        <v>0</v>
      </c>
      <c r="FB139" s="1">
        <v>0</v>
      </c>
      <c r="FC139" s="1">
        <v>0</v>
      </c>
      <c r="FD139" s="1">
        <v>0</v>
      </c>
      <c r="FE139" s="1">
        <f t="shared" si="46"/>
        <v>37</v>
      </c>
      <c r="FF139" s="1">
        <f>EM157</f>
        <v>27</v>
      </c>
      <c r="FG139" s="1">
        <f t="shared" si="47"/>
        <v>0</v>
      </c>
    </row>
    <row r="140" spans="8:163" ht="15.75" thickBot="1" x14ac:dyDescent="0.3">
      <c r="H140" s="1" t="s">
        <v>73</v>
      </c>
      <c r="I140" s="1">
        <f t="shared" si="45"/>
        <v>0</v>
      </c>
      <c r="J140" s="1">
        <f t="shared" si="49"/>
        <v>0</v>
      </c>
      <c r="K140" s="1">
        <f t="shared" si="50"/>
        <v>0</v>
      </c>
      <c r="L140" s="1">
        <f t="shared" si="51"/>
        <v>0</v>
      </c>
      <c r="M140" s="1">
        <f t="shared" si="52"/>
        <v>0</v>
      </c>
      <c r="N140" s="1">
        <f t="shared" si="53"/>
        <v>0</v>
      </c>
      <c r="O140" s="1">
        <f t="shared" si="54"/>
        <v>0</v>
      </c>
      <c r="P140" s="1">
        <f t="shared" si="55"/>
        <v>0</v>
      </c>
      <c r="Q140" s="1">
        <f t="shared" si="56"/>
        <v>0</v>
      </c>
      <c r="R140" s="1">
        <f t="shared" si="57"/>
        <v>0</v>
      </c>
      <c r="S140" s="1">
        <f t="shared" si="58"/>
        <v>0</v>
      </c>
      <c r="T140" s="1">
        <f t="shared" si="59"/>
        <v>0</v>
      </c>
      <c r="U140" s="1">
        <f t="shared" si="60"/>
        <v>0</v>
      </c>
      <c r="V140" s="1">
        <f t="shared" si="61"/>
        <v>0</v>
      </c>
      <c r="W140" s="1">
        <f t="shared" si="62"/>
        <v>0</v>
      </c>
      <c r="X140" s="1">
        <f t="shared" si="63"/>
        <v>0</v>
      </c>
      <c r="Y140" s="1">
        <f t="shared" si="64"/>
        <v>0</v>
      </c>
      <c r="Z140" s="1">
        <f t="shared" si="65"/>
        <v>0</v>
      </c>
      <c r="AA140" s="1">
        <f t="shared" si="66"/>
        <v>0</v>
      </c>
      <c r="AB140" s="1">
        <f t="shared" si="67"/>
        <v>0</v>
      </c>
      <c r="AC140" s="1">
        <f t="shared" si="68"/>
        <v>0</v>
      </c>
      <c r="AD140" s="1">
        <f t="shared" si="69"/>
        <v>0</v>
      </c>
      <c r="AE140" s="1">
        <f t="shared" si="70"/>
        <v>0</v>
      </c>
      <c r="AF140" s="1">
        <f t="shared" si="71"/>
        <v>0</v>
      </c>
      <c r="AG140" s="1">
        <f t="shared" si="72"/>
        <v>0</v>
      </c>
      <c r="AH140" s="1">
        <f t="shared" si="73"/>
        <v>0</v>
      </c>
      <c r="AI140" s="1">
        <f t="shared" si="74"/>
        <v>0</v>
      </c>
      <c r="AJ140" s="1">
        <f t="shared" si="75"/>
        <v>0</v>
      </c>
      <c r="AK140" s="1">
        <f t="shared" si="76"/>
        <v>0</v>
      </c>
      <c r="AL140" s="1">
        <f t="shared" si="77"/>
        <v>0</v>
      </c>
      <c r="AM140" s="1">
        <f t="shared" si="78"/>
        <v>0</v>
      </c>
      <c r="AN140" s="1">
        <f t="shared" si="79"/>
        <v>0</v>
      </c>
      <c r="AO140" s="1">
        <f t="shared" si="80"/>
        <v>0</v>
      </c>
      <c r="AP140" s="1">
        <f t="shared" si="81"/>
        <v>0</v>
      </c>
      <c r="AQ140" s="1">
        <f t="shared" si="82"/>
        <v>0</v>
      </c>
      <c r="AR140" s="1">
        <f t="shared" si="83"/>
        <v>0</v>
      </c>
      <c r="AS140" s="1">
        <f t="shared" si="84"/>
        <v>0</v>
      </c>
      <c r="AT140" s="1">
        <f t="shared" si="85"/>
        <v>0</v>
      </c>
      <c r="AU140" s="1">
        <f t="shared" si="86"/>
        <v>0</v>
      </c>
      <c r="AV140" s="1">
        <f t="shared" si="87"/>
        <v>0</v>
      </c>
      <c r="AW140" s="1">
        <f t="shared" si="88"/>
        <v>0</v>
      </c>
      <c r="AX140" s="1">
        <f t="shared" si="89"/>
        <v>0</v>
      </c>
      <c r="AY140" s="1">
        <f t="shared" si="90"/>
        <v>0</v>
      </c>
      <c r="AZ140" s="1">
        <f t="shared" si="91"/>
        <v>0</v>
      </c>
      <c r="BA140" s="1">
        <f t="shared" si="92"/>
        <v>0</v>
      </c>
      <c r="BB140" s="1">
        <f t="shared" si="93"/>
        <v>0</v>
      </c>
      <c r="BC140" s="1">
        <f t="shared" si="94"/>
        <v>0</v>
      </c>
      <c r="BD140" s="1">
        <f t="shared" si="95"/>
        <v>0</v>
      </c>
      <c r="BE140" s="1">
        <f t="shared" si="96"/>
        <v>0</v>
      </c>
      <c r="BF140" s="1">
        <f t="shared" si="97"/>
        <v>0</v>
      </c>
      <c r="BG140" s="1">
        <f t="shared" si="98"/>
        <v>0</v>
      </c>
      <c r="BH140" s="1">
        <f t="shared" si="99"/>
        <v>0</v>
      </c>
      <c r="BI140" s="1">
        <f t="shared" si="100"/>
        <v>0</v>
      </c>
      <c r="BJ140" s="1">
        <f t="shared" si="101"/>
        <v>0</v>
      </c>
      <c r="BK140" s="1">
        <f t="shared" si="102"/>
        <v>0</v>
      </c>
      <c r="BL140" s="1">
        <f t="shared" si="103"/>
        <v>0</v>
      </c>
      <c r="BM140" s="1">
        <f t="shared" si="104"/>
        <v>0</v>
      </c>
      <c r="BN140" s="1">
        <f t="shared" si="105"/>
        <v>0</v>
      </c>
      <c r="BO140" s="1">
        <f t="shared" si="106"/>
        <v>0</v>
      </c>
      <c r="BP140" s="1">
        <f t="shared" si="107"/>
        <v>0</v>
      </c>
      <c r="BQ140" s="1">
        <f t="shared" si="108"/>
        <v>0</v>
      </c>
      <c r="BR140" s="1">
        <f t="shared" si="109"/>
        <v>0</v>
      </c>
      <c r="BS140" s="1">
        <f t="shared" si="110"/>
        <v>0</v>
      </c>
      <c r="BT140" s="1">
        <f t="shared" si="111"/>
        <v>0</v>
      </c>
      <c r="BU140" s="1">
        <f t="shared" si="48"/>
        <v>0</v>
      </c>
      <c r="BV140" s="1">
        <f t="shared" si="112"/>
        <v>0</v>
      </c>
      <c r="BW140" s="1">
        <f t="shared" si="113"/>
        <v>0</v>
      </c>
      <c r="BX140" s="1">
        <f t="shared" si="114"/>
        <v>0</v>
      </c>
      <c r="BY140" s="1">
        <f t="shared" si="115"/>
        <v>0</v>
      </c>
      <c r="BZ140" s="1">
        <f t="shared" si="116"/>
        <v>0</v>
      </c>
      <c r="CA140" s="1">
        <f t="shared" si="117"/>
        <v>0</v>
      </c>
      <c r="CB140" s="1">
        <f t="shared" si="118"/>
        <v>-28</v>
      </c>
      <c r="CC140" s="1">
        <f t="shared" si="119"/>
        <v>0</v>
      </c>
      <c r="CD140" s="1">
        <f t="shared" si="120"/>
        <v>0</v>
      </c>
      <c r="CE140" s="1"/>
      <c r="CH140" s="1" t="s">
        <v>73</v>
      </c>
      <c r="CI140" s="1">
        <v>0</v>
      </c>
      <c r="CJ140" s="1">
        <v>0</v>
      </c>
      <c r="CK140" s="1">
        <v>0</v>
      </c>
      <c r="CL140" s="1">
        <v>0</v>
      </c>
      <c r="CM140" s="1">
        <v>0</v>
      </c>
      <c r="CN140" s="1">
        <v>0</v>
      </c>
      <c r="CO140" s="1">
        <v>0</v>
      </c>
      <c r="CP140" s="1">
        <v>0</v>
      </c>
      <c r="CQ140" s="1">
        <v>0</v>
      </c>
      <c r="CR140" s="1">
        <v>0</v>
      </c>
      <c r="CS140" s="1">
        <v>0</v>
      </c>
      <c r="CT140" s="1">
        <v>0</v>
      </c>
      <c r="CU140" s="1">
        <v>0</v>
      </c>
      <c r="CV140" s="1">
        <v>0</v>
      </c>
      <c r="CW140" s="1">
        <v>0</v>
      </c>
      <c r="CX140" s="1">
        <v>0</v>
      </c>
      <c r="CY140" s="1">
        <v>0</v>
      </c>
      <c r="CZ140" s="1">
        <v>0</v>
      </c>
      <c r="DA140" s="1">
        <v>0</v>
      </c>
      <c r="DB140" s="1">
        <v>0</v>
      </c>
      <c r="DC140" s="1">
        <v>0</v>
      </c>
      <c r="DD140" s="1">
        <v>0</v>
      </c>
      <c r="DE140" s="1">
        <v>0</v>
      </c>
      <c r="DF140" s="1">
        <v>0</v>
      </c>
      <c r="DG140" s="1">
        <v>0</v>
      </c>
      <c r="DH140" s="1">
        <v>0</v>
      </c>
      <c r="DI140" s="1">
        <v>0</v>
      </c>
      <c r="DJ140" s="1">
        <v>0</v>
      </c>
      <c r="DK140" s="1">
        <v>0</v>
      </c>
      <c r="DL140" s="1">
        <v>0</v>
      </c>
      <c r="DM140" s="1">
        <v>0</v>
      </c>
      <c r="DN140" s="1">
        <v>0</v>
      </c>
      <c r="DO140" s="1">
        <v>0</v>
      </c>
      <c r="DP140" s="1">
        <v>0</v>
      </c>
      <c r="DQ140" s="1">
        <v>0</v>
      </c>
      <c r="DR140" s="1">
        <v>0</v>
      </c>
      <c r="DS140" s="1">
        <v>0</v>
      </c>
      <c r="DT140" s="1">
        <v>0</v>
      </c>
      <c r="DU140" s="1">
        <v>0</v>
      </c>
      <c r="DV140" s="1">
        <v>0</v>
      </c>
      <c r="DW140" s="1">
        <v>0</v>
      </c>
      <c r="DX140" s="1">
        <v>0</v>
      </c>
      <c r="DY140" s="1">
        <v>0</v>
      </c>
      <c r="DZ140" s="1">
        <v>0</v>
      </c>
      <c r="EA140" s="1">
        <v>0</v>
      </c>
      <c r="EB140" s="1">
        <v>0</v>
      </c>
      <c r="EC140" s="1">
        <v>0</v>
      </c>
      <c r="ED140" s="1">
        <v>0</v>
      </c>
      <c r="EE140" s="1">
        <v>0</v>
      </c>
      <c r="EF140" s="1">
        <v>0</v>
      </c>
      <c r="EG140" s="1">
        <v>0</v>
      </c>
      <c r="EH140" s="1">
        <v>0</v>
      </c>
      <c r="EI140" s="1">
        <v>0</v>
      </c>
      <c r="EJ140" s="1">
        <v>0</v>
      </c>
      <c r="EK140" s="1">
        <v>0</v>
      </c>
      <c r="EL140" s="1">
        <v>0</v>
      </c>
      <c r="EM140" s="1">
        <v>0</v>
      </c>
      <c r="EN140" s="1">
        <v>0</v>
      </c>
      <c r="EO140" s="1">
        <v>0</v>
      </c>
      <c r="EP140" s="1">
        <v>0</v>
      </c>
      <c r="EQ140" s="1">
        <v>0</v>
      </c>
      <c r="ER140" s="1">
        <v>0</v>
      </c>
      <c r="ES140" s="1">
        <v>0</v>
      </c>
      <c r="ET140" s="1">
        <v>0</v>
      </c>
      <c r="EU140" s="1">
        <v>0</v>
      </c>
      <c r="EV140" s="1">
        <v>0</v>
      </c>
      <c r="EW140" s="1">
        <v>0</v>
      </c>
      <c r="EX140" s="1">
        <v>0</v>
      </c>
      <c r="EY140" s="1">
        <v>0</v>
      </c>
      <c r="EZ140" s="1">
        <v>0</v>
      </c>
      <c r="FA140" s="1">
        <v>0</v>
      </c>
      <c r="FB140" s="1">
        <v>42</v>
      </c>
      <c r="FC140" s="1">
        <v>0</v>
      </c>
      <c r="FD140" s="1">
        <v>0</v>
      </c>
      <c r="FE140" s="1">
        <f t="shared" si="46"/>
        <v>42</v>
      </c>
      <c r="FF140" s="1">
        <f>EN157</f>
        <v>37</v>
      </c>
      <c r="FG140" s="1">
        <f t="shared" si="47"/>
        <v>0</v>
      </c>
    </row>
    <row r="141" spans="8:163" ht="15.75" thickBot="1" x14ac:dyDescent="0.3">
      <c r="H141" s="1" t="s">
        <v>74</v>
      </c>
      <c r="I141" s="1">
        <f t="shared" si="45"/>
        <v>0</v>
      </c>
      <c r="J141" s="1">
        <f t="shared" si="49"/>
        <v>0</v>
      </c>
      <c r="K141" s="1">
        <f t="shared" si="50"/>
        <v>0</v>
      </c>
      <c r="L141" s="1">
        <f t="shared" si="51"/>
        <v>0</v>
      </c>
      <c r="M141" s="1">
        <f t="shared" si="52"/>
        <v>0</v>
      </c>
      <c r="N141" s="1">
        <f t="shared" si="53"/>
        <v>0</v>
      </c>
      <c r="O141" s="1">
        <f t="shared" si="54"/>
        <v>0</v>
      </c>
      <c r="P141" s="1">
        <f t="shared" si="55"/>
        <v>0</v>
      </c>
      <c r="Q141" s="1">
        <f t="shared" si="56"/>
        <v>0</v>
      </c>
      <c r="R141" s="1">
        <f t="shared" si="57"/>
        <v>0</v>
      </c>
      <c r="S141" s="1">
        <f t="shared" si="58"/>
        <v>0</v>
      </c>
      <c r="T141" s="1">
        <f t="shared" si="59"/>
        <v>0</v>
      </c>
      <c r="U141" s="1">
        <f t="shared" si="60"/>
        <v>0</v>
      </c>
      <c r="V141" s="1">
        <f t="shared" si="61"/>
        <v>0</v>
      </c>
      <c r="W141" s="1">
        <f t="shared" si="62"/>
        <v>0</v>
      </c>
      <c r="X141" s="1">
        <f t="shared" si="63"/>
        <v>0</v>
      </c>
      <c r="Y141" s="1">
        <f t="shared" si="64"/>
        <v>0</v>
      </c>
      <c r="Z141" s="1">
        <f t="shared" si="65"/>
        <v>0</v>
      </c>
      <c r="AA141" s="1">
        <f t="shared" si="66"/>
        <v>0</v>
      </c>
      <c r="AB141" s="1">
        <f t="shared" si="67"/>
        <v>0</v>
      </c>
      <c r="AC141" s="1">
        <f t="shared" si="68"/>
        <v>0</v>
      </c>
      <c r="AD141" s="1">
        <f t="shared" si="69"/>
        <v>0</v>
      </c>
      <c r="AE141" s="1">
        <f t="shared" si="70"/>
        <v>0</v>
      </c>
      <c r="AF141" s="1">
        <f t="shared" si="71"/>
        <v>0</v>
      </c>
      <c r="AG141" s="1">
        <f t="shared" si="72"/>
        <v>0</v>
      </c>
      <c r="AH141" s="1">
        <f t="shared" si="73"/>
        <v>0</v>
      </c>
      <c r="AI141" s="1">
        <f t="shared" si="74"/>
        <v>0</v>
      </c>
      <c r="AJ141" s="1">
        <f t="shared" si="75"/>
        <v>0</v>
      </c>
      <c r="AK141" s="1">
        <f t="shared" si="76"/>
        <v>0</v>
      </c>
      <c r="AL141" s="1">
        <f t="shared" si="77"/>
        <v>0</v>
      </c>
      <c r="AM141" s="1">
        <f t="shared" si="78"/>
        <v>0</v>
      </c>
      <c r="AN141" s="1">
        <f t="shared" si="79"/>
        <v>0</v>
      </c>
      <c r="AO141" s="1">
        <f t="shared" si="80"/>
        <v>0</v>
      </c>
      <c r="AP141" s="1">
        <f t="shared" si="81"/>
        <v>0</v>
      </c>
      <c r="AQ141" s="1">
        <f t="shared" si="82"/>
        <v>0</v>
      </c>
      <c r="AR141" s="1">
        <f t="shared" si="83"/>
        <v>0</v>
      </c>
      <c r="AS141" s="1">
        <f t="shared" si="84"/>
        <v>0</v>
      </c>
      <c r="AT141" s="1">
        <f t="shared" si="85"/>
        <v>0</v>
      </c>
      <c r="AU141" s="1">
        <f t="shared" si="86"/>
        <v>0</v>
      </c>
      <c r="AV141" s="1">
        <f t="shared" si="87"/>
        <v>0</v>
      </c>
      <c r="AW141" s="1">
        <f t="shared" si="88"/>
        <v>0</v>
      </c>
      <c r="AX141" s="1">
        <f t="shared" si="89"/>
        <v>0</v>
      </c>
      <c r="AY141" s="1">
        <f t="shared" si="90"/>
        <v>0</v>
      </c>
      <c r="AZ141" s="1">
        <f t="shared" si="91"/>
        <v>0</v>
      </c>
      <c r="BA141" s="1">
        <f t="shared" si="92"/>
        <v>0</v>
      </c>
      <c r="BB141" s="1">
        <f t="shared" si="93"/>
        <v>0</v>
      </c>
      <c r="BC141" s="1">
        <f t="shared" si="94"/>
        <v>0</v>
      </c>
      <c r="BD141" s="1">
        <f t="shared" si="95"/>
        <v>0</v>
      </c>
      <c r="BE141" s="1">
        <f t="shared" si="96"/>
        <v>0</v>
      </c>
      <c r="BF141" s="1">
        <f t="shared" si="97"/>
        <v>0</v>
      </c>
      <c r="BG141" s="1">
        <f t="shared" si="98"/>
        <v>0</v>
      </c>
      <c r="BH141" s="1">
        <f t="shared" si="99"/>
        <v>0</v>
      </c>
      <c r="BI141" s="1">
        <f t="shared" si="100"/>
        <v>0</v>
      </c>
      <c r="BJ141" s="1">
        <f t="shared" si="101"/>
        <v>0</v>
      </c>
      <c r="BK141" s="1">
        <f t="shared" si="102"/>
        <v>0</v>
      </c>
      <c r="BL141" s="1">
        <f t="shared" si="103"/>
        <v>0</v>
      </c>
      <c r="BM141" s="1">
        <f t="shared" si="104"/>
        <v>0</v>
      </c>
      <c r="BN141" s="1">
        <f t="shared" si="105"/>
        <v>0</v>
      </c>
      <c r="BO141" s="1">
        <f t="shared" si="106"/>
        <v>0</v>
      </c>
      <c r="BP141" s="1">
        <f t="shared" si="107"/>
        <v>0</v>
      </c>
      <c r="BQ141" s="1">
        <f t="shared" si="108"/>
        <v>0</v>
      </c>
      <c r="BR141" s="1">
        <f t="shared" si="109"/>
        <v>0</v>
      </c>
      <c r="BS141" s="1">
        <f t="shared" si="110"/>
        <v>0</v>
      </c>
      <c r="BT141" s="1">
        <f t="shared" si="111"/>
        <v>0</v>
      </c>
      <c r="BU141" s="1">
        <f t="shared" si="48"/>
        <v>0</v>
      </c>
      <c r="BV141" s="1">
        <f t="shared" si="112"/>
        <v>0</v>
      </c>
      <c r="BW141" s="1">
        <f t="shared" si="113"/>
        <v>0</v>
      </c>
      <c r="BX141" s="1">
        <f t="shared" si="114"/>
        <v>0</v>
      </c>
      <c r="BY141" s="1">
        <f t="shared" si="115"/>
        <v>0</v>
      </c>
      <c r="BZ141" s="1">
        <f t="shared" si="116"/>
        <v>0</v>
      </c>
      <c r="CA141" s="1">
        <f t="shared" si="117"/>
        <v>0</v>
      </c>
      <c r="CB141" s="1">
        <f t="shared" si="118"/>
        <v>0</v>
      </c>
      <c r="CC141" s="1">
        <f t="shared" si="119"/>
        <v>0</v>
      </c>
      <c r="CD141" s="1">
        <f t="shared" si="120"/>
        <v>0</v>
      </c>
      <c r="CE141" s="1"/>
      <c r="CH141" s="1" t="s">
        <v>74</v>
      </c>
      <c r="CI141" s="1">
        <v>70</v>
      </c>
      <c r="CJ141" s="1">
        <v>0</v>
      </c>
      <c r="CK141" s="1">
        <v>0</v>
      </c>
      <c r="CL141" s="1">
        <v>0</v>
      </c>
      <c r="CM141" s="1">
        <v>0</v>
      </c>
      <c r="CN141" s="1">
        <v>0</v>
      </c>
      <c r="CO141" s="1">
        <v>0</v>
      </c>
      <c r="CP141" s="1">
        <v>0</v>
      </c>
      <c r="CQ141" s="1">
        <v>0</v>
      </c>
      <c r="CR141" s="1">
        <v>0</v>
      </c>
      <c r="CS141" s="1">
        <v>0</v>
      </c>
      <c r="CT141" s="1">
        <v>0</v>
      </c>
      <c r="CU141" s="1">
        <v>0</v>
      </c>
      <c r="CV141" s="1">
        <v>0</v>
      </c>
      <c r="CW141" s="1">
        <v>0</v>
      </c>
      <c r="CX141" s="1">
        <v>0</v>
      </c>
      <c r="CY141" s="1">
        <v>0</v>
      </c>
      <c r="CZ141" s="1">
        <v>0</v>
      </c>
      <c r="DA141" s="1">
        <v>0</v>
      </c>
      <c r="DB141" s="1">
        <v>0</v>
      </c>
      <c r="DC141" s="1">
        <v>0</v>
      </c>
      <c r="DD141" s="1">
        <v>0</v>
      </c>
      <c r="DE141" s="1">
        <v>0</v>
      </c>
      <c r="DF141" s="1">
        <v>0</v>
      </c>
      <c r="DG141" s="1">
        <v>0</v>
      </c>
      <c r="DH141" s="1">
        <v>0</v>
      </c>
      <c r="DI141" s="1">
        <v>0</v>
      </c>
      <c r="DJ141" s="1">
        <v>0</v>
      </c>
      <c r="DK141" s="1">
        <v>0</v>
      </c>
      <c r="DL141" s="1">
        <v>0</v>
      </c>
      <c r="DM141" s="1">
        <v>0</v>
      </c>
      <c r="DN141" s="1">
        <v>0</v>
      </c>
      <c r="DO141" s="1">
        <v>0</v>
      </c>
      <c r="DP141" s="1">
        <v>0</v>
      </c>
      <c r="DQ141" s="1">
        <v>0</v>
      </c>
      <c r="DR141" s="1">
        <v>0</v>
      </c>
      <c r="DS141" s="1">
        <v>0</v>
      </c>
      <c r="DT141" s="1">
        <v>0</v>
      </c>
      <c r="DU141" s="1">
        <v>0</v>
      </c>
      <c r="DV141" s="1">
        <v>0</v>
      </c>
      <c r="DW141" s="1">
        <v>0</v>
      </c>
      <c r="DX141" s="1">
        <v>0</v>
      </c>
      <c r="DY141" s="1">
        <v>0</v>
      </c>
      <c r="DZ141" s="1">
        <v>0</v>
      </c>
      <c r="EA141" s="1">
        <v>0</v>
      </c>
      <c r="EB141" s="1">
        <v>0</v>
      </c>
      <c r="EC141" s="1">
        <v>0</v>
      </c>
      <c r="ED141" s="1">
        <v>0</v>
      </c>
      <c r="EE141" s="1">
        <v>0</v>
      </c>
      <c r="EF141" s="1">
        <v>0</v>
      </c>
      <c r="EG141" s="1">
        <v>0</v>
      </c>
      <c r="EH141" s="1">
        <v>0</v>
      </c>
      <c r="EI141" s="1">
        <v>0</v>
      </c>
      <c r="EJ141" s="1">
        <v>0</v>
      </c>
      <c r="EK141" s="1">
        <v>0</v>
      </c>
      <c r="EL141" s="1">
        <v>0</v>
      </c>
      <c r="EM141" s="1">
        <v>0</v>
      </c>
      <c r="EN141" s="1">
        <v>0</v>
      </c>
      <c r="EO141" s="1">
        <v>0</v>
      </c>
      <c r="EP141" s="1">
        <v>0</v>
      </c>
      <c r="EQ141" s="1">
        <v>0</v>
      </c>
      <c r="ER141" s="1">
        <v>0</v>
      </c>
      <c r="ES141" s="1">
        <v>0</v>
      </c>
      <c r="ET141" s="1">
        <v>0</v>
      </c>
      <c r="EU141" s="1">
        <v>0</v>
      </c>
      <c r="EV141" s="1">
        <v>0</v>
      </c>
      <c r="EW141" s="1">
        <v>0</v>
      </c>
      <c r="EX141" s="1">
        <v>0</v>
      </c>
      <c r="EY141" s="1">
        <v>0</v>
      </c>
      <c r="EZ141" s="1">
        <v>0</v>
      </c>
      <c r="FA141" s="1">
        <v>0</v>
      </c>
      <c r="FB141" s="1">
        <v>0</v>
      </c>
      <c r="FC141" s="1">
        <v>0</v>
      </c>
      <c r="FD141" s="1">
        <v>0</v>
      </c>
      <c r="FE141" s="1">
        <f t="shared" si="46"/>
        <v>70</v>
      </c>
      <c r="FF141" s="1">
        <f>EO157</f>
        <v>61</v>
      </c>
      <c r="FG141" s="1">
        <f t="shared" si="47"/>
        <v>0</v>
      </c>
    </row>
    <row r="142" spans="8:163" ht="15.75" thickBot="1" x14ac:dyDescent="0.3">
      <c r="H142" s="1" t="s">
        <v>75</v>
      </c>
      <c r="I142" s="1">
        <f t="shared" si="45"/>
        <v>-1</v>
      </c>
      <c r="J142" s="1">
        <f t="shared" si="49"/>
        <v>0</v>
      </c>
      <c r="K142" s="1">
        <f t="shared" si="50"/>
        <v>0</v>
      </c>
      <c r="L142" s="1">
        <f t="shared" si="51"/>
        <v>0</v>
      </c>
      <c r="M142" s="1">
        <f t="shared" si="52"/>
        <v>0</v>
      </c>
      <c r="N142" s="1">
        <f t="shared" si="53"/>
        <v>0</v>
      </c>
      <c r="O142" s="1">
        <f t="shared" si="54"/>
        <v>0</v>
      </c>
      <c r="P142" s="1">
        <f t="shared" si="55"/>
        <v>0</v>
      </c>
      <c r="Q142" s="1">
        <f t="shared" si="56"/>
        <v>0</v>
      </c>
      <c r="R142" s="1">
        <f t="shared" si="57"/>
        <v>0</v>
      </c>
      <c r="S142" s="1">
        <f t="shared" si="58"/>
        <v>0</v>
      </c>
      <c r="T142" s="1">
        <f t="shared" si="59"/>
        <v>0</v>
      </c>
      <c r="U142" s="1">
        <f t="shared" si="60"/>
        <v>0</v>
      </c>
      <c r="V142" s="1">
        <f t="shared" si="61"/>
        <v>0</v>
      </c>
      <c r="W142" s="1">
        <f t="shared" si="62"/>
        <v>0</v>
      </c>
      <c r="X142" s="1">
        <f t="shared" si="63"/>
        <v>0</v>
      </c>
      <c r="Y142" s="1">
        <f t="shared" si="64"/>
        <v>0</v>
      </c>
      <c r="Z142" s="1">
        <f t="shared" si="65"/>
        <v>0</v>
      </c>
      <c r="AA142" s="1">
        <f t="shared" si="66"/>
        <v>0</v>
      </c>
      <c r="AB142" s="1">
        <f t="shared" si="67"/>
        <v>0</v>
      </c>
      <c r="AC142" s="1">
        <f t="shared" si="68"/>
        <v>0</v>
      </c>
      <c r="AD142" s="1">
        <f t="shared" si="69"/>
        <v>0</v>
      </c>
      <c r="AE142" s="1">
        <f t="shared" si="70"/>
        <v>0</v>
      </c>
      <c r="AF142" s="1">
        <f t="shared" si="71"/>
        <v>0</v>
      </c>
      <c r="AG142" s="1">
        <f t="shared" si="72"/>
        <v>0</v>
      </c>
      <c r="AH142" s="1">
        <f t="shared" si="73"/>
        <v>0</v>
      </c>
      <c r="AI142" s="1">
        <f t="shared" si="74"/>
        <v>0</v>
      </c>
      <c r="AJ142" s="1">
        <f t="shared" si="75"/>
        <v>0</v>
      </c>
      <c r="AK142" s="1">
        <f t="shared" si="76"/>
        <v>0</v>
      </c>
      <c r="AL142" s="1">
        <f t="shared" si="77"/>
        <v>0</v>
      </c>
      <c r="AM142" s="1">
        <f t="shared" si="78"/>
        <v>0</v>
      </c>
      <c r="AN142" s="1">
        <f t="shared" si="79"/>
        <v>0</v>
      </c>
      <c r="AO142" s="1">
        <f t="shared" si="80"/>
        <v>0</v>
      </c>
      <c r="AP142" s="1">
        <f t="shared" si="81"/>
        <v>0</v>
      </c>
      <c r="AQ142" s="1">
        <f t="shared" si="82"/>
        <v>0</v>
      </c>
      <c r="AR142" s="1">
        <f t="shared" si="83"/>
        <v>0</v>
      </c>
      <c r="AS142" s="1">
        <f t="shared" si="84"/>
        <v>0</v>
      </c>
      <c r="AT142" s="1">
        <f t="shared" si="85"/>
        <v>0</v>
      </c>
      <c r="AU142" s="1">
        <f t="shared" si="86"/>
        <v>0</v>
      </c>
      <c r="AV142" s="1">
        <f t="shared" si="87"/>
        <v>0</v>
      </c>
      <c r="AW142" s="1">
        <f t="shared" si="88"/>
        <v>0</v>
      </c>
      <c r="AX142" s="1">
        <f t="shared" si="89"/>
        <v>0</v>
      </c>
      <c r="AY142" s="1">
        <f t="shared" si="90"/>
        <v>0</v>
      </c>
      <c r="AZ142" s="1">
        <f t="shared" si="91"/>
        <v>0</v>
      </c>
      <c r="BA142" s="1">
        <f t="shared" si="92"/>
        <v>0</v>
      </c>
      <c r="BB142" s="1">
        <f t="shared" si="93"/>
        <v>0</v>
      </c>
      <c r="BC142" s="1">
        <f t="shared" si="94"/>
        <v>0</v>
      </c>
      <c r="BD142" s="1">
        <f t="shared" si="95"/>
        <v>0</v>
      </c>
      <c r="BE142" s="1">
        <f t="shared" si="96"/>
        <v>0</v>
      </c>
      <c r="BF142" s="1">
        <f t="shared" si="97"/>
        <v>0</v>
      </c>
      <c r="BG142" s="1">
        <f t="shared" si="98"/>
        <v>0</v>
      </c>
      <c r="BH142" s="1">
        <f t="shared" si="99"/>
        <v>0</v>
      </c>
      <c r="BI142" s="1">
        <f t="shared" si="100"/>
        <v>0</v>
      </c>
      <c r="BJ142" s="1">
        <f t="shared" si="101"/>
        <v>0</v>
      </c>
      <c r="BK142" s="1">
        <f t="shared" si="102"/>
        <v>0</v>
      </c>
      <c r="BL142" s="1">
        <f t="shared" si="103"/>
        <v>0</v>
      </c>
      <c r="BM142" s="1">
        <f t="shared" si="104"/>
        <v>0</v>
      </c>
      <c r="BN142" s="1">
        <f t="shared" si="105"/>
        <v>0</v>
      </c>
      <c r="BO142" s="1">
        <f t="shared" si="106"/>
        <v>0</v>
      </c>
      <c r="BP142" s="1">
        <f t="shared" si="107"/>
        <v>0</v>
      </c>
      <c r="BQ142" s="1">
        <f t="shared" si="108"/>
        <v>0</v>
      </c>
      <c r="BR142" s="1">
        <f t="shared" si="109"/>
        <v>0</v>
      </c>
      <c r="BS142" s="1">
        <f t="shared" si="110"/>
        <v>0</v>
      </c>
      <c r="BT142" s="1">
        <f t="shared" si="111"/>
        <v>0</v>
      </c>
      <c r="BU142" s="1">
        <f t="shared" si="48"/>
        <v>0</v>
      </c>
      <c r="BV142" s="1">
        <f t="shared" si="112"/>
        <v>0</v>
      </c>
      <c r="BW142" s="1">
        <f t="shared" si="113"/>
        <v>0</v>
      </c>
      <c r="BX142" s="1">
        <f t="shared" si="114"/>
        <v>0</v>
      </c>
      <c r="BY142" s="1">
        <f t="shared" si="115"/>
        <v>0</v>
      </c>
      <c r="BZ142" s="1">
        <f t="shared" si="116"/>
        <v>0</v>
      </c>
      <c r="CA142" s="1">
        <f t="shared" si="117"/>
        <v>0</v>
      </c>
      <c r="CB142" s="1">
        <f t="shared" si="118"/>
        <v>0</v>
      </c>
      <c r="CC142" s="1">
        <f t="shared" si="119"/>
        <v>0</v>
      </c>
      <c r="CD142" s="1">
        <f t="shared" si="120"/>
        <v>0</v>
      </c>
      <c r="CE142" s="1"/>
      <c r="CH142" s="1" t="s">
        <v>75</v>
      </c>
      <c r="CI142" s="1">
        <v>69</v>
      </c>
      <c r="CJ142" s="1">
        <v>0</v>
      </c>
      <c r="CK142" s="1">
        <v>0</v>
      </c>
      <c r="CL142" s="1">
        <v>0</v>
      </c>
      <c r="CM142" s="1">
        <v>0</v>
      </c>
      <c r="CN142" s="1">
        <v>0</v>
      </c>
      <c r="CO142" s="1">
        <v>0</v>
      </c>
      <c r="CP142" s="1">
        <v>0</v>
      </c>
      <c r="CQ142" s="1">
        <v>0</v>
      </c>
      <c r="CR142" s="1">
        <v>0</v>
      </c>
      <c r="CS142" s="1">
        <v>0</v>
      </c>
      <c r="CT142" s="1">
        <v>0</v>
      </c>
      <c r="CU142" s="1">
        <v>0</v>
      </c>
      <c r="CV142" s="1">
        <v>0</v>
      </c>
      <c r="CW142" s="1">
        <v>0</v>
      </c>
      <c r="CX142" s="1">
        <v>0</v>
      </c>
      <c r="CY142" s="1">
        <v>0</v>
      </c>
      <c r="CZ142" s="1">
        <v>0</v>
      </c>
      <c r="DA142" s="1">
        <v>0</v>
      </c>
      <c r="DB142" s="1">
        <v>0</v>
      </c>
      <c r="DC142" s="1">
        <v>0</v>
      </c>
      <c r="DD142" s="1">
        <v>0</v>
      </c>
      <c r="DE142" s="1">
        <v>0</v>
      </c>
      <c r="DF142" s="1">
        <v>0</v>
      </c>
      <c r="DG142" s="1">
        <v>0</v>
      </c>
      <c r="DH142" s="1">
        <v>0</v>
      </c>
      <c r="DI142" s="1">
        <v>0</v>
      </c>
      <c r="DJ142" s="1">
        <v>0</v>
      </c>
      <c r="DK142" s="1">
        <v>0</v>
      </c>
      <c r="DL142" s="1">
        <v>0</v>
      </c>
      <c r="DM142" s="1">
        <v>0</v>
      </c>
      <c r="DN142" s="1">
        <v>0</v>
      </c>
      <c r="DO142" s="1">
        <v>0</v>
      </c>
      <c r="DP142" s="1">
        <v>0</v>
      </c>
      <c r="DQ142" s="1">
        <v>0</v>
      </c>
      <c r="DR142" s="1">
        <v>0</v>
      </c>
      <c r="DS142" s="1">
        <v>0</v>
      </c>
      <c r="DT142" s="1">
        <v>0</v>
      </c>
      <c r="DU142" s="1">
        <v>0</v>
      </c>
      <c r="DV142" s="1">
        <v>0</v>
      </c>
      <c r="DW142" s="1">
        <v>0</v>
      </c>
      <c r="DX142" s="1">
        <v>0</v>
      </c>
      <c r="DY142" s="1">
        <v>0</v>
      </c>
      <c r="DZ142" s="1">
        <v>0</v>
      </c>
      <c r="EA142" s="1">
        <v>0</v>
      </c>
      <c r="EB142" s="1">
        <v>0</v>
      </c>
      <c r="EC142" s="1">
        <v>0</v>
      </c>
      <c r="ED142" s="1">
        <v>0</v>
      </c>
      <c r="EE142" s="1">
        <v>0</v>
      </c>
      <c r="EF142" s="1">
        <v>0</v>
      </c>
      <c r="EG142" s="1">
        <v>0</v>
      </c>
      <c r="EH142" s="1">
        <v>0</v>
      </c>
      <c r="EI142" s="1">
        <v>0</v>
      </c>
      <c r="EJ142" s="1">
        <v>0</v>
      </c>
      <c r="EK142" s="1">
        <v>0</v>
      </c>
      <c r="EL142" s="1">
        <v>0</v>
      </c>
      <c r="EM142" s="1">
        <v>0</v>
      </c>
      <c r="EN142" s="1">
        <v>0</v>
      </c>
      <c r="EO142" s="1">
        <v>0</v>
      </c>
      <c r="EP142" s="1">
        <v>0</v>
      </c>
      <c r="EQ142" s="1">
        <v>0</v>
      </c>
      <c r="ER142" s="1">
        <v>0</v>
      </c>
      <c r="ES142" s="1">
        <v>0</v>
      </c>
      <c r="ET142" s="1">
        <v>0</v>
      </c>
      <c r="EU142" s="1">
        <v>0</v>
      </c>
      <c r="EV142" s="1">
        <v>0</v>
      </c>
      <c r="EW142" s="1">
        <v>0</v>
      </c>
      <c r="EX142" s="1">
        <v>0</v>
      </c>
      <c r="EY142" s="1">
        <v>0</v>
      </c>
      <c r="EZ142" s="1">
        <v>0</v>
      </c>
      <c r="FA142" s="1">
        <v>0</v>
      </c>
      <c r="FB142" s="1">
        <v>0</v>
      </c>
      <c r="FC142" s="1">
        <v>0</v>
      </c>
      <c r="FD142" s="1">
        <v>0</v>
      </c>
      <c r="FE142" s="1">
        <f t="shared" si="46"/>
        <v>69</v>
      </c>
      <c r="FF142" s="1">
        <f>EP157</f>
        <v>58</v>
      </c>
      <c r="FG142" s="1">
        <f t="shared" si="47"/>
        <v>0</v>
      </c>
    </row>
    <row r="143" spans="8:163" ht="15.75" thickBot="1" x14ac:dyDescent="0.3">
      <c r="H143" s="1" t="s">
        <v>76</v>
      </c>
      <c r="I143" s="1">
        <f t="shared" si="45"/>
        <v>0</v>
      </c>
      <c r="J143" s="1">
        <f t="shared" si="49"/>
        <v>0</v>
      </c>
      <c r="K143" s="1">
        <f t="shared" si="50"/>
        <v>0</v>
      </c>
      <c r="L143" s="1">
        <f t="shared" si="51"/>
        <v>0</v>
      </c>
      <c r="M143" s="1">
        <f t="shared" si="52"/>
        <v>0</v>
      </c>
      <c r="N143" s="1">
        <f t="shared" si="53"/>
        <v>0</v>
      </c>
      <c r="O143" s="1">
        <f t="shared" si="54"/>
        <v>0</v>
      </c>
      <c r="P143" s="1">
        <f t="shared" si="55"/>
        <v>0</v>
      </c>
      <c r="Q143" s="1">
        <f t="shared" si="56"/>
        <v>0</v>
      </c>
      <c r="R143" s="1">
        <f t="shared" si="57"/>
        <v>0</v>
      </c>
      <c r="S143" s="1">
        <f t="shared" si="58"/>
        <v>0</v>
      </c>
      <c r="T143" s="1">
        <f t="shared" si="59"/>
        <v>0</v>
      </c>
      <c r="U143" s="1">
        <f t="shared" si="60"/>
        <v>0</v>
      </c>
      <c r="V143" s="1">
        <f t="shared" si="61"/>
        <v>0</v>
      </c>
      <c r="W143" s="1">
        <f t="shared" si="62"/>
        <v>0</v>
      </c>
      <c r="X143" s="1">
        <f t="shared" si="63"/>
        <v>0</v>
      </c>
      <c r="Y143" s="1">
        <f t="shared" si="64"/>
        <v>0</v>
      </c>
      <c r="Z143" s="1">
        <f t="shared" si="65"/>
        <v>0</v>
      </c>
      <c r="AA143" s="1">
        <f t="shared" si="66"/>
        <v>0</v>
      </c>
      <c r="AB143" s="1">
        <f t="shared" si="67"/>
        <v>0</v>
      </c>
      <c r="AC143" s="1">
        <f t="shared" si="68"/>
        <v>0</v>
      </c>
      <c r="AD143" s="1">
        <f t="shared" si="69"/>
        <v>0</v>
      </c>
      <c r="AE143" s="1">
        <f t="shared" si="70"/>
        <v>0</v>
      </c>
      <c r="AF143" s="1">
        <f t="shared" si="71"/>
        <v>0</v>
      </c>
      <c r="AG143" s="1">
        <f t="shared" si="72"/>
        <v>0</v>
      </c>
      <c r="AH143" s="1">
        <f t="shared" si="73"/>
        <v>0</v>
      </c>
      <c r="AI143" s="1">
        <f t="shared" si="74"/>
        <v>0</v>
      </c>
      <c r="AJ143" s="1">
        <f t="shared" si="75"/>
        <v>0</v>
      </c>
      <c r="AK143" s="1">
        <f t="shared" si="76"/>
        <v>0</v>
      </c>
      <c r="AL143" s="1">
        <f t="shared" si="77"/>
        <v>-62</v>
      </c>
      <c r="AM143" s="1">
        <f t="shared" si="78"/>
        <v>0</v>
      </c>
      <c r="AN143" s="1">
        <f t="shared" si="79"/>
        <v>0</v>
      </c>
      <c r="AO143" s="1">
        <f t="shared" si="80"/>
        <v>0</v>
      </c>
      <c r="AP143" s="1">
        <f t="shared" si="81"/>
        <v>0</v>
      </c>
      <c r="AQ143" s="1">
        <f t="shared" si="82"/>
        <v>0</v>
      </c>
      <c r="AR143" s="1">
        <f t="shared" si="83"/>
        <v>0</v>
      </c>
      <c r="AS143" s="1">
        <f t="shared" si="84"/>
        <v>0</v>
      </c>
      <c r="AT143" s="1">
        <f t="shared" si="85"/>
        <v>0</v>
      </c>
      <c r="AU143" s="1">
        <f t="shared" si="86"/>
        <v>0</v>
      </c>
      <c r="AV143" s="1">
        <f t="shared" si="87"/>
        <v>0</v>
      </c>
      <c r="AW143" s="1">
        <f t="shared" si="88"/>
        <v>0</v>
      </c>
      <c r="AX143" s="1">
        <f t="shared" si="89"/>
        <v>0</v>
      </c>
      <c r="AY143" s="1">
        <f t="shared" si="90"/>
        <v>0</v>
      </c>
      <c r="AZ143" s="1">
        <f t="shared" si="91"/>
        <v>0</v>
      </c>
      <c r="BA143" s="1">
        <f t="shared" si="92"/>
        <v>0</v>
      </c>
      <c r="BB143" s="1">
        <f t="shared" si="93"/>
        <v>0</v>
      </c>
      <c r="BC143" s="1">
        <f t="shared" si="94"/>
        <v>0</v>
      </c>
      <c r="BD143" s="1">
        <f t="shared" si="95"/>
        <v>0</v>
      </c>
      <c r="BE143" s="1">
        <f t="shared" si="96"/>
        <v>0</v>
      </c>
      <c r="BF143" s="1">
        <f t="shared" si="97"/>
        <v>0</v>
      </c>
      <c r="BG143" s="1">
        <f t="shared" si="98"/>
        <v>0</v>
      </c>
      <c r="BH143" s="1">
        <f t="shared" si="99"/>
        <v>0</v>
      </c>
      <c r="BI143" s="1">
        <f t="shared" si="100"/>
        <v>0</v>
      </c>
      <c r="BJ143" s="1">
        <f t="shared" si="101"/>
        <v>0</v>
      </c>
      <c r="BK143" s="1">
        <f t="shared" si="102"/>
        <v>0</v>
      </c>
      <c r="BL143" s="1">
        <f t="shared" si="103"/>
        <v>0</v>
      </c>
      <c r="BM143" s="1">
        <f t="shared" si="104"/>
        <v>0</v>
      </c>
      <c r="BN143" s="1">
        <f t="shared" si="105"/>
        <v>0</v>
      </c>
      <c r="BO143" s="1">
        <f t="shared" si="106"/>
        <v>0</v>
      </c>
      <c r="BP143" s="1">
        <f t="shared" si="107"/>
        <v>0</v>
      </c>
      <c r="BQ143" s="1">
        <f t="shared" si="108"/>
        <v>0</v>
      </c>
      <c r="BR143" s="1">
        <f t="shared" si="109"/>
        <v>0</v>
      </c>
      <c r="BS143" s="1">
        <f t="shared" si="110"/>
        <v>0</v>
      </c>
      <c r="BT143" s="1">
        <f t="shared" si="111"/>
        <v>0</v>
      </c>
      <c r="BU143" s="1">
        <f t="shared" si="48"/>
        <v>0</v>
      </c>
      <c r="BV143" s="1">
        <f t="shared" si="112"/>
        <v>0</v>
      </c>
      <c r="BW143" s="1">
        <f t="shared" si="113"/>
        <v>0</v>
      </c>
      <c r="BX143" s="1">
        <f t="shared" si="114"/>
        <v>0</v>
      </c>
      <c r="BY143" s="1">
        <f t="shared" si="115"/>
        <v>0</v>
      </c>
      <c r="BZ143" s="1">
        <f t="shared" si="116"/>
        <v>0</v>
      </c>
      <c r="CA143" s="1">
        <f t="shared" si="117"/>
        <v>0</v>
      </c>
      <c r="CB143" s="1">
        <f t="shared" si="118"/>
        <v>0</v>
      </c>
      <c r="CC143" s="1">
        <f t="shared" si="119"/>
        <v>0</v>
      </c>
      <c r="CD143" s="1">
        <f t="shared" si="120"/>
        <v>0</v>
      </c>
      <c r="CE143" s="1"/>
      <c r="CH143" s="1" t="s">
        <v>76</v>
      </c>
      <c r="CI143" s="1">
        <v>0</v>
      </c>
      <c r="CJ143" s="1">
        <v>0</v>
      </c>
      <c r="CK143" s="1">
        <v>0</v>
      </c>
      <c r="CL143" s="1">
        <v>0</v>
      </c>
      <c r="CM143" s="1">
        <v>0</v>
      </c>
      <c r="CN143" s="1">
        <v>0</v>
      </c>
      <c r="CO143" s="1">
        <v>0</v>
      </c>
      <c r="CP143" s="1">
        <v>0</v>
      </c>
      <c r="CQ143" s="1">
        <v>0</v>
      </c>
      <c r="CR143" s="1">
        <v>0</v>
      </c>
      <c r="CS143" s="1">
        <v>0</v>
      </c>
      <c r="CT143" s="1">
        <v>0</v>
      </c>
      <c r="CU143" s="1">
        <v>0</v>
      </c>
      <c r="CV143" s="1">
        <v>0</v>
      </c>
      <c r="CW143" s="1">
        <v>0</v>
      </c>
      <c r="CX143" s="1">
        <v>0</v>
      </c>
      <c r="CY143" s="1">
        <v>0</v>
      </c>
      <c r="CZ143" s="1">
        <v>0</v>
      </c>
      <c r="DA143" s="1">
        <v>0</v>
      </c>
      <c r="DB143" s="1">
        <v>0</v>
      </c>
      <c r="DC143" s="1">
        <v>0</v>
      </c>
      <c r="DD143" s="1">
        <v>0</v>
      </c>
      <c r="DE143" s="1">
        <v>0</v>
      </c>
      <c r="DF143" s="1">
        <v>0</v>
      </c>
      <c r="DG143" s="1">
        <v>0</v>
      </c>
      <c r="DH143" s="1">
        <v>0</v>
      </c>
      <c r="DI143" s="1">
        <v>0</v>
      </c>
      <c r="DJ143" s="1">
        <v>0</v>
      </c>
      <c r="DK143" s="1">
        <v>0</v>
      </c>
      <c r="DL143" s="1">
        <v>8</v>
      </c>
      <c r="DM143" s="1">
        <v>0</v>
      </c>
      <c r="DN143" s="1">
        <v>0</v>
      </c>
      <c r="DO143" s="1">
        <v>0</v>
      </c>
      <c r="DP143" s="1">
        <v>0</v>
      </c>
      <c r="DQ143" s="1">
        <v>0</v>
      </c>
      <c r="DR143" s="1">
        <v>0</v>
      </c>
      <c r="DS143" s="1">
        <v>0</v>
      </c>
      <c r="DT143" s="1">
        <v>0</v>
      </c>
      <c r="DU143" s="1">
        <v>0</v>
      </c>
      <c r="DV143" s="1">
        <v>0</v>
      </c>
      <c r="DW143" s="1">
        <v>0</v>
      </c>
      <c r="DX143" s="1">
        <v>0</v>
      </c>
      <c r="DY143" s="1">
        <v>0</v>
      </c>
      <c r="DZ143" s="1">
        <v>0</v>
      </c>
      <c r="EA143" s="1">
        <v>0</v>
      </c>
      <c r="EB143" s="1">
        <v>0</v>
      </c>
      <c r="EC143" s="1">
        <v>0</v>
      </c>
      <c r="ED143" s="1">
        <v>0</v>
      </c>
      <c r="EE143" s="1">
        <v>0</v>
      </c>
      <c r="EF143" s="1">
        <v>0</v>
      </c>
      <c r="EG143" s="1">
        <v>0</v>
      </c>
      <c r="EH143" s="1">
        <v>0</v>
      </c>
      <c r="EI143" s="1">
        <v>0</v>
      </c>
      <c r="EJ143" s="1">
        <v>0</v>
      </c>
      <c r="EK143" s="1">
        <v>0</v>
      </c>
      <c r="EL143" s="1">
        <v>0</v>
      </c>
      <c r="EM143" s="1">
        <v>0</v>
      </c>
      <c r="EN143" s="1">
        <v>0</v>
      </c>
      <c r="EO143" s="1">
        <v>0</v>
      </c>
      <c r="EP143" s="1">
        <v>0</v>
      </c>
      <c r="EQ143" s="1">
        <v>0</v>
      </c>
      <c r="ER143" s="1">
        <v>0</v>
      </c>
      <c r="ES143" s="1">
        <v>0</v>
      </c>
      <c r="ET143" s="1">
        <v>0</v>
      </c>
      <c r="EU143" s="1">
        <v>0</v>
      </c>
      <c r="EV143" s="1">
        <v>0</v>
      </c>
      <c r="EW143" s="1">
        <v>0</v>
      </c>
      <c r="EX143" s="1">
        <v>0</v>
      </c>
      <c r="EY143" s="1">
        <v>0</v>
      </c>
      <c r="EZ143" s="1">
        <v>0</v>
      </c>
      <c r="FA143" s="1">
        <v>0</v>
      </c>
      <c r="FB143" s="1">
        <v>0</v>
      </c>
      <c r="FC143" s="1">
        <v>0</v>
      </c>
      <c r="FD143" s="1">
        <v>0</v>
      </c>
      <c r="FE143" s="1">
        <f t="shared" si="46"/>
        <v>8</v>
      </c>
      <c r="FF143" s="1">
        <f>EQ157</f>
        <v>0</v>
      </c>
      <c r="FG143" s="1">
        <f t="shared" si="47"/>
        <v>0</v>
      </c>
    </row>
    <row r="144" spans="8:163" ht="15.75" thickBot="1" x14ac:dyDescent="0.3">
      <c r="H144" s="1" t="s">
        <v>77</v>
      </c>
      <c r="I144" s="1">
        <f t="shared" si="45"/>
        <v>0</v>
      </c>
      <c r="J144" s="1">
        <f t="shared" si="49"/>
        <v>0</v>
      </c>
      <c r="K144" s="1">
        <f t="shared" si="50"/>
        <v>0</v>
      </c>
      <c r="L144" s="1">
        <f t="shared" si="51"/>
        <v>0</v>
      </c>
      <c r="M144" s="1">
        <f t="shared" si="52"/>
        <v>0</v>
      </c>
      <c r="N144" s="1">
        <f t="shared" si="53"/>
        <v>0</v>
      </c>
      <c r="O144" s="1">
        <f t="shared" si="54"/>
        <v>0</v>
      </c>
      <c r="P144" s="1">
        <f t="shared" si="55"/>
        <v>0</v>
      </c>
      <c r="Q144" s="1">
        <f t="shared" si="56"/>
        <v>0</v>
      </c>
      <c r="R144" s="1">
        <f t="shared" si="57"/>
        <v>0</v>
      </c>
      <c r="S144" s="1">
        <f t="shared" si="58"/>
        <v>0</v>
      </c>
      <c r="T144" s="1">
        <f t="shared" si="59"/>
        <v>0</v>
      </c>
      <c r="U144" s="1">
        <f t="shared" si="60"/>
        <v>0</v>
      </c>
      <c r="V144" s="1">
        <f t="shared" si="61"/>
        <v>0</v>
      </c>
      <c r="W144" s="1">
        <f t="shared" si="62"/>
        <v>0</v>
      </c>
      <c r="X144" s="1">
        <f t="shared" si="63"/>
        <v>0</v>
      </c>
      <c r="Y144" s="1">
        <f t="shared" si="64"/>
        <v>0</v>
      </c>
      <c r="Z144" s="1">
        <f t="shared" si="65"/>
        <v>0</v>
      </c>
      <c r="AA144" s="1">
        <f t="shared" si="66"/>
        <v>0</v>
      </c>
      <c r="AB144" s="1">
        <f t="shared" si="67"/>
        <v>0</v>
      </c>
      <c r="AC144" s="1">
        <f t="shared" si="68"/>
        <v>0</v>
      </c>
      <c r="AD144" s="1">
        <f t="shared" si="69"/>
        <v>0</v>
      </c>
      <c r="AE144" s="1">
        <f t="shared" si="70"/>
        <v>0</v>
      </c>
      <c r="AF144" s="1">
        <f t="shared" si="71"/>
        <v>0</v>
      </c>
      <c r="AG144" s="1">
        <f t="shared" si="72"/>
        <v>0</v>
      </c>
      <c r="AH144" s="1">
        <f t="shared" si="73"/>
        <v>0</v>
      </c>
      <c r="AI144" s="1">
        <f t="shared" si="74"/>
        <v>0</v>
      </c>
      <c r="AJ144" s="1">
        <f t="shared" si="75"/>
        <v>0</v>
      </c>
      <c r="AK144" s="1">
        <f t="shared" si="76"/>
        <v>0</v>
      </c>
      <c r="AL144" s="1">
        <f t="shared" si="77"/>
        <v>0</v>
      </c>
      <c r="AM144" s="1">
        <f t="shared" si="78"/>
        <v>0</v>
      </c>
      <c r="AN144" s="1">
        <f t="shared" si="79"/>
        <v>0</v>
      </c>
      <c r="AO144" s="1">
        <f t="shared" si="80"/>
        <v>0</v>
      </c>
      <c r="AP144" s="1">
        <f t="shared" si="81"/>
        <v>0</v>
      </c>
      <c r="AQ144" s="1">
        <f t="shared" si="82"/>
        <v>0</v>
      </c>
      <c r="AR144" s="1">
        <f t="shared" si="83"/>
        <v>0</v>
      </c>
      <c r="AS144" s="1">
        <f t="shared" si="84"/>
        <v>0</v>
      </c>
      <c r="AT144" s="1">
        <f t="shared" si="85"/>
        <v>0</v>
      </c>
      <c r="AU144" s="1">
        <f t="shared" si="86"/>
        <v>0</v>
      </c>
      <c r="AV144" s="1">
        <f t="shared" si="87"/>
        <v>0</v>
      </c>
      <c r="AW144" s="1">
        <f t="shared" si="88"/>
        <v>0</v>
      </c>
      <c r="AX144" s="1">
        <f t="shared" si="89"/>
        <v>0</v>
      </c>
      <c r="AY144" s="1">
        <f t="shared" si="90"/>
        <v>0</v>
      </c>
      <c r="AZ144" s="1">
        <f t="shared" si="91"/>
        <v>0</v>
      </c>
      <c r="BA144" s="1">
        <f t="shared" si="92"/>
        <v>0</v>
      </c>
      <c r="BB144" s="1">
        <f t="shared" si="93"/>
        <v>0</v>
      </c>
      <c r="BC144" s="1">
        <f t="shared" si="94"/>
        <v>-56</v>
      </c>
      <c r="BD144" s="1">
        <f t="shared" si="95"/>
        <v>0</v>
      </c>
      <c r="BE144" s="1">
        <f t="shared" si="96"/>
        <v>0</v>
      </c>
      <c r="BF144" s="1">
        <f t="shared" si="97"/>
        <v>0</v>
      </c>
      <c r="BG144" s="1">
        <f t="shared" si="98"/>
        <v>0</v>
      </c>
      <c r="BH144" s="1">
        <f t="shared" si="99"/>
        <v>0</v>
      </c>
      <c r="BI144" s="1">
        <f t="shared" si="100"/>
        <v>0</v>
      </c>
      <c r="BJ144" s="1">
        <f t="shared" si="101"/>
        <v>0</v>
      </c>
      <c r="BK144" s="1">
        <f t="shared" si="102"/>
        <v>0</v>
      </c>
      <c r="BL144" s="1">
        <f t="shared" si="103"/>
        <v>0</v>
      </c>
      <c r="BM144" s="1">
        <f t="shared" si="104"/>
        <v>0</v>
      </c>
      <c r="BN144" s="1">
        <f t="shared" si="105"/>
        <v>0</v>
      </c>
      <c r="BO144" s="1">
        <f t="shared" si="106"/>
        <v>0</v>
      </c>
      <c r="BP144" s="1">
        <f t="shared" si="107"/>
        <v>0</v>
      </c>
      <c r="BQ144" s="1">
        <f t="shared" si="108"/>
        <v>0</v>
      </c>
      <c r="BR144" s="1">
        <f t="shared" si="109"/>
        <v>0</v>
      </c>
      <c r="BS144" s="1">
        <f t="shared" si="110"/>
        <v>0</v>
      </c>
      <c r="BT144" s="1">
        <f t="shared" si="111"/>
        <v>0</v>
      </c>
      <c r="BU144" s="1">
        <f t="shared" si="48"/>
        <v>0</v>
      </c>
      <c r="BV144" s="1">
        <f t="shared" si="112"/>
        <v>0</v>
      </c>
      <c r="BW144" s="1">
        <f t="shared" si="113"/>
        <v>0</v>
      </c>
      <c r="BX144" s="1">
        <f t="shared" si="114"/>
        <v>0</v>
      </c>
      <c r="BY144" s="1">
        <f t="shared" si="115"/>
        <v>0</v>
      </c>
      <c r="BZ144" s="1">
        <f t="shared" si="116"/>
        <v>0</v>
      </c>
      <c r="CA144" s="1">
        <f t="shared" si="117"/>
        <v>0</v>
      </c>
      <c r="CB144" s="1">
        <f t="shared" si="118"/>
        <v>0</v>
      </c>
      <c r="CC144" s="1">
        <f t="shared" si="119"/>
        <v>0</v>
      </c>
      <c r="CD144" s="1">
        <f t="shared" si="120"/>
        <v>0</v>
      </c>
      <c r="CE144" s="1"/>
      <c r="CH144" s="1" t="s">
        <v>77</v>
      </c>
      <c r="CI144" s="1">
        <v>0</v>
      </c>
      <c r="CJ144" s="1">
        <v>0</v>
      </c>
      <c r="CK144" s="1">
        <v>0</v>
      </c>
      <c r="CL144" s="1">
        <v>0</v>
      </c>
      <c r="CM144" s="1">
        <v>0</v>
      </c>
      <c r="CN144" s="1">
        <v>0</v>
      </c>
      <c r="CO144" s="1">
        <v>0</v>
      </c>
      <c r="CP144" s="1">
        <v>0</v>
      </c>
      <c r="CQ144" s="1">
        <v>0</v>
      </c>
      <c r="CR144" s="1">
        <v>0</v>
      </c>
      <c r="CS144" s="1">
        <v>0</v>
      </c>
      <c r="CT144" s="1">
        <v>0</v>
      </c>
      <c r="CU144" s="1">
        <v>0</v>
      </c>
      <c r="CV144" s="1">
        <v>0</v>
      </c>
      <c r="CW144" s="1">
        <v>0</v>
      </c>
      <c r="CX144" s="1">
        <v>0</v>
      </c>
      <c r="CY144" s="1">
        <v>0</v>
      </c>
      <c r="CZ144" s="1">
        <v>0</v>
      </c>
      <c r="DA144" s="1">
        <v>0</v>
      </c>
      <c r="DB144" s="1">
        <v>0</v>
      </c>
      <c r="DC144" s="1">
        <v>0</v>
      </c>
      <c r="DD144" s="1">
        <v>0</v>
      </c>
      <c r="DE144" s="1">
        <v>0</v>
      </c>
      <c r="DF144" s="1">
        <v>0</v>
      </c>
      <c r="DG144" s="1">
        <v>0</v>
      </c>
      <c r="DH144" s="1">
        <v>0</v>
      </c>
      <c r="DI144" s="1">
        <v>0</v>
      </c>
      <c r="DJ144" s="1">
        <v>0</v>
      </c>
      <c r="DK144" s="1">
        <v>0</v>
      </c>
      <c r="DL144" s="1">
        <v>0</v>
      </c>
      <c r="DM144" s="1">
        <v>0</v>
      </c>
      <c r="DN144" s="1">
        <v>0</v>
      </c>
      <c r="DO144" s="1">
        <v>0</v>
      </c>
      <c r="DP144" s="1">
        <v>0</v>
      </c>
      <c r="DQ144" s="1">
        <v>0</v>
      </c>
      <c r="DR144" s="1">
        <v>0</v>
      </c>
      <c r="DS144" s="1">
        <v>0</v>
      </c>
      <c r="DT144" s="1">
        <v>0</v>
      </c>
      <c r="DU144" s="1">
        <v>0</v>
      </c>
      <c r="DV144" s="1">
        <v>0</v>
      </c>
      <c r="DW144" s="1">
        <v>0</v>
      </c>
      <c r="DX144" s="1">
        <v>0</v>
      </c>
      <c r="DY144" s="1">
        <v>0</v>
      </c>
      <c r="DZ144" s="1">
        <v>0</v>
      </c>
      <c r="EA144" s="1">
        <v>0</v>
      </c>
      <c r="EB144" s="1">
        <v>0</v>
      </c>
      <c r="EC144" s="1">
        <v>14</v>
      </c>
      <c r="ED144" s="1">
        <v>0</v>
      </c>
      <c r="EE144" s="1">
        <v>0</v>
      </c>
      <c r="EF144" s="1">
        <v>0</v>
      </c>
      <c r="EG144" s="1">
        <v>0</v>
      </c>
      <c r="EH144" s="1">
        <v>0</v>
      </c>
      <c r="EI144" s="1">
        <v>0</v>
      </c>
      <c r="EJ144" s="1">
        <v>0</v>
      </c>
      <c r="EK144" s="1">
        <v>0</v>
      </c>
      <c r="EL144" s="1">
        <v>0</v>
      </c>
      <c r="EM144" s="1">
        <v>0</v>
      </c>
      <c r="EN144" s="1">
        <v>0</v>
      </c>
      <c r="EO144" s="1">
        <v>0</v>
      </c>
      <c r="EP144" s="1">
        <v>0</v>
      </c>
      <c r="EQ144" s="1">
        <v>0</v>
      </c>
      <c r="ER144" s="1">
        <v>0</v>
      </c>
      <c r="ES144" s="1">
        <v>0</v>
      </c>
      <c r="ET144" s="1">
        <v>0</v>
      </c>
      <c r="EU144" s="1">
        <v>0</v>
      </c>
      <c r="EV144" s="1">
        <v>0</v>
      </c>
      <c r="EW144" s="1">
        <v>0</v>
      </c>
      <c r="EX144" s="1">
        <v>0</v>
      </c>
      <c r="EY144" s="1">
        <v>0</v>
      </c>
      <c r="EZ144" s="1">
        <v>0</v>
      </c>
      <c r="FA144" s="1">
        <v>0</v>
      </c>
      <c r="FB144" s="1">
        <v>0</v>
      </c>
      <c r="FC144" s="1">
        <v>0</v>
      </c>
      <c r="FD144" s="1">
        <v>0</v>
      </c>
      <c r="FE144" s="1">
        <f t="shared" si="46"/>
        <v>14</v>
      </c>
      <c r="FF144" s="1">
        <f>ER157</f>
        <v>0</v>
      </c>
      <c r="FG144" s="1">
        <f t="shared" si="47"/>
        <v>0</v>
      </c>
    </row>
    <row r="145" spans="8:163" ht="15.75" thickBot="1" x14ac:dyDescent="0.3">
      <c r="H145" s="1" t="s">
        <v>78</v>
      </c>
      <c r="I145" s="1">
        <f t="shared" si="45"/>
        <v>0</v>
      </c>
      <c r="J145" s="1">
        <f t="shared" si="49"/>
        <v>0</v>
      </c>
      <c r="K145" s="1">
        <f t="shared" si="50"/>
        <v>0</v>
      </c>
      <c r="L145" s="1">
        <f t="shared" si="51"/>
        <v>0</v>
      </c>
      <c r="M145" s="1">
        <f t="shared" si="52"/>
        <v>0</v>
      </c>
      <c r="N145" s="1">
        <f t="shared" si="53"/>
        <v>0</v>
      </c>
      <c r="O145" s="1">
        <f t="shared" si="54"/>
        <v>0</v>
      </c>
      <c r="P145" s="1">
        <f t="shared" si="55"/>
        <v>0</v>
      </c>
      <c r="Q145" s="1">
        <f t="shared" si="56"/>
        <v>0</v>
      </c>
      <c r="R145" s="1">
        <f t="shared" si="57"/>
        <v>0</v>
      </c>
      <c r="S145" s="1">
        <f t="shared" si="58"/>
        <v>0</v>
      </c>
      <c r="T145" s="1">
        <f t="shared" si="59"/>
        <v>0</v>
      </c>
      <c r="U145" s="1">
        <f t="shared" si="60"/>
        <v>0</v>
      </c>
      <c r="V145" s="1">
        <f t="shared" si="61"/>
        <v>0</v>
      </c>
      <c r="W145" s="1">
        <f t="shared" si="62"/>
        <v>0</v>
      </c>
      <c r="X145" s="1">
        <f t="shared" si="63"/>
        <v>0</v>
      </c>
      <c r="Y145" s="1">
        <f t="shared" si="64"/>
        <v>0</v>
      </c>
      <c r="Z145" s="1">
        <f t="shared" si="65"/>
        <v>0</v>
      </c>
      <c r="AA145" s="1">
        <f t="shared" si="66"/>
        <v>0</v>
      </c>
      <c r="AB145" s="1">
        <f t="shared" si="67"/>
        <v>0</v>
      </c>
      <c r="AC145" s="1">
        <f t="shared" si="68"/>
        <v>0</v>
      </c>
      <c r="AD145" s="1">
        <f t="shared" si="69"/>
        <v>0</v>
      </c>
      <c r="AE145" s="1">
        <f t="shared" si="70"/>
        <v>0</v>
      </c>
      <c r="AF145" s="1">
        <f t="shared" si="71"/>
        <v>0</v>
      </c>
      <c r="AG145" s="1">
        <f t="shared" si="72"/>
        <v>0</v>
      </c>
      <c r="AH145" s="1">
        <f t="shared" si="73"/>
        <v>0</v>
      </c>
      <c r="AI145" s="1">
        <f t="shared" si="74"/>
        <v>0</v>
      </c>
      <c r="AJ145" s="1">
        <f t="shared" si="75"/>
        <v>0</v>
      </c>
      <c r="AK145" s="1">
        <f t="shared" si="76"/>
        <v>0</v>
      </c>
      <c r="AL145" s="1">
        <f t="shared" si="77"/>
        <v>0</v>
      </c>
      <c r="AM145" s="1">
        <f t="shared" si="78"/>
        <v>0</v>
      </c>
      <c r="AN145" s="1">
        <f t="shared" si="79"/>
        <v>0</v>
      </c>
      <c r="AO145" s="1">
        <f t="shared" si="80"/>
        <v>0</v>
      </c>
      <c r="AP145" s="1">
        <f t="shared" si="81"/>
        <v>0</v>
      </c>
      <c r="AQ145" s="1">
        <f t="shared" si="82"/>
        <v>0</v>
      </c>
      <c r="AR145" s="1">
        <f t="shared" si="83"/>
        <v>0</v>
      </c>
      <c r="AS145" s="1">
        <f t="shared" si="84"/>
        <v>0</v>
      </c>
      <c r="AT145" s="1">
        <f t="shared" si="85"/>
        <v>0</v>
      </c>
      <c r="AU145" s="1">
        <f t="shared" si="86"/>
        <v>0</v>
      </c>
      <c r="AV145" s="1">
        <f t="shared" si="87"/>
        <v>0</v>
      </c>
      <c r="AW145" s="1">
        <f t="shared" si="88"/>
        <v>0</v>
      </c>
      <c r="AX145" s="1">
        <f t="shared" si="89"/>
        <v>0</v>
      </c>
      <c r="AY145" s="1">
        <f t="shared" si="90"/>
        <v>0</v>
      </c>
      <c r="AZ145" s="1">
        <f t="shared" si="91"/>
        <v>0</v>
      </c>
      <c r="BA145" s="1">
        <f t="shared" si="92"/>
        <v>0</v>
      </c>
      <c r="BB145" s="1">
        <f t="shared" si="93"/>
        <v>0</v>
      </c>
      <c r="BC145" s="1">
        <f t="shared" si="94"/>
        <v>0</v>
      </c>
      <c r="BD145" s="1">
        <f t="shared" si="95"/>
        <v>0</v>
      </c>
      <c r="BE145" s="1">
        <f t="shared" si="96"/>
        <v>0</v>
      </c>
      <c r="BF145" s="1">
        <f t="shared" si="97"/>
        <v>0</v>
      </c>
      <c r="BG145" s="1">
        <f t="shared" si="98"/>
        <v>0</v>
      </c>
      <c r="BH145" s="1">
        <f t="shared" si="99"/>
        <v>0</v>
      </c>
      <c r="BI145" s="1">
        <f t="shared" si="100"/>
        <v>0</v>
      </c>
      <c r="BJ145" s="1">
        <f t="shared" si="101"/>
        <v>-53</v>
      </c>
      <c r="BK145" s="1">
        <f t="shared" si="102"/>
        <v>0</v>
      </c>
      <c r="BL145" s="1">
        <f t="shared" si="103"/>
        <v>0</v>
      </c>
      <c r="BM145" s="1">
        <f t="shared" si="104"/>
        <v>0</v>
      </c>
      <c r="BN145" s="1">
        <f t="shared" si="105"/>
        <v>0</v>
      </c>
      <c r="BO145" s="1">
        <f t="shared" si="106"/>
        <v>0</v>
      </c>
      <c r="BP145" s="1">
        <f t="shared" si="107"/>
        <v>0</v>
      </c>
      <c r="BQ145" s="1">
        <f t="shared" si="108"/>
        <v>0</v>
      </c>
      <c r="BR145" s="1">
        <f t="shared" si="109"/>
        <v>0</v>
      </c>
      <c r="BS145" s="1">
        <f t="shared" si="110"/>
        <v>0</v>
      </c>
      <c r="BT145" s="1">
        <f t="shared" si="111"/>
        <v>0</v>
      </c>
      <c r="BU145" s="1">
        <f t="shared" si="48"/>
        <v>0</v>
      </c>
      <c r="BV145" s="1">
        <f t="shared" si="112"/>
        <v>0</v>
      </c>
      <c r="BW145" s="1">
        <f t="shared" si="113"/>
        <v>0</v>
      </c>
      <c r="BX145" s="1">
        <f t="shared" si="114"/>
        <v>0</v>
      </c>
      <c r="BY145" s="1">
        <f t="shared" si="115"/>
        <v>0</v>
      </c>
      <c r="BZ145" s="1">
        <f t="shared" si="116"/>
        <v>0</v>
      </c>
      <c r="CA145" s="1">
        <f t="shared" si="117"/>
        <v>0</v>
      </c>
      <c r="CB145" s="1">
        <f t="shared" si="118"/>
        <v>0</v>
      </c>
      <c r="CC145" s="1">
        <f t="shared" si="119"/>
        <v>0</v>
      </c>
      <c r="CD145" s="1">
        <f t="shared" si="120"/>
        <v>0</v>
      </c>
      <c r="CE145" s="1"/>
      <c r="CH145" s="1" t="s">
        <v>78</v>
      </c>
      <c r="CI145" s="1">
        <v>0</v>
      </c>
      <c r="CJ145" s="1">
        <v>0</v>
      </c>
      <c r="CK145" s="1">
        <v>0</v>
      </c>
      <c r="CL145" s="1">
        <v>0</v>
      </c>
      <c r="CM145" s="1">
        <v>0</v>
      </c>
      <c r="CN145" s="1">
        <v>0</v>
      </c>
      <c r="CO145" s="1">
        <v>0</v>
      </c>
      <c r="CP145" s="1">
        <v>0</v>
      </c>
      <c r="CQ145" s="1">
        <v>0</v>
      </c>
      <c r="CR145" s="1">
        <v>0</v>
      </c>
      <c r="CS145" s="1">
        <v>0</v>
      </c>
      <c r="CT145" s="1">
        <v>0</v>
      </c>
      <c r="CU145" s="1">
        <v>0</v>
      </c>
      <c r="CV145" s="1">
        <v>0</v>
      </c>
      <c r="CW145" s="1">
        <v>0</v>
      </c>
      <c r="CX145" s="1">
        <v>0</v>
      </c>
      <c r="CY145" s="1">
        <v>0</v>
      </c>
      <c r="CZ145" s="1">
        <v>0</v>
      </c>
      <c r="DA145" s="1">
        <v>0</v>
      </c>
      <c r="DB145" s="1">
        <v>0</v>
      </c>
      <c r="DC145" s="1">
        <v>0</v>
      </c>
      <c r="DD145" s="1">
        <v>0</v>
      </c>
      <c r="DE145" s="1">
        <v>0</v>
      </c>
      <c r="DF145" s="1">
        <v>0</v>
      </c>
      <c r="DG145" s="1">
        <v>0</v>
      </c>
      <c r="DH145" s="1">
        <v>0</v>
      </c>
      <c r="DI145" s="1">
        <v>0</v>
      </c>
      <c r="DJ145" s="1">
        <v>0</v>
      </c>
      <c r="DK145" s="1">
        <v>0</v>
      </c>
      <c r="DL145" s="1">
        <v>0</v>
      </c>
      <c r="DM145" s="1">
        <v>0</v>
      </c>
      <c r="DN145" s="1">
        <v>0</v>
      </c>
      <c r="DO145" s="1">
        <v>0</v>
      </c>
      <c r="DP145" s="1">
        <v>0</v>
      </c>
      <c r="DQ145" s="1">
        <v>0</v>
      </c>
      <c r="DR145" s="1">
        <v>0</v>
      </c>
      <c r="DS145" s="1">
        <v>0</v>
      </c>
      <c r="DT145" s="1">
        <v>0</v>
      </c>
      <c r="DU145" s="1">
        <v>0</v>
      </c>
      <c r="DV145" s="1">
        <v>0</v>
      </c>
      <c r="DW145" s="1">
        <v>0</v>
      </c>
      <c r="DX145" s="1">
        <v>0</v>
      </c>
      <c r="DY145" s="1">
        <v>0</v>
      </c>
      <c r="DZ145" s="1">
        <v>0</v>
      </c>
      <c r="EA145" s="1">
        <v>0</v>
      </c>
      <c r="EB145" s="1">
        <v>0</v>
      </c>
      <c r="EC145" s="1">
        <v>0</v>
      </c>
      <c r="ED145" s="1">
        <v>0</v>
      </c>
      <c r="EE145" s="1">
        <v>0</v>
      </c>
      <c r="EF145" s="1">
        <v>0</v>
      </c>
      <c r="EG145" s="1">
        <v>0</v>
      </c>
      <c r="EH145" s="1">
        <v>0</v>
      </c>
      <c r="EI145" s="1">
        <v>0</v>
      </c>
      <c r="EJ145" s="1">
        <v>17</v>
      </c>
      <c r="EK145" s="1">
        <v>0</v>
      </c>
      <c r="EL145" s="1">
        <v>0</v>
      </c>
      <c r="EM145" s="1">
        <v>0</v>
      </c>
      <c r="EN145" s="1">
        <v>0</v>
      </c>
      <c r="EO145" s="1">
        <v>0</v>
      </c>
      <c r="EP145" s="1">
        <v>0</v>
      </c>
      <c r="EQ145" s="1">
        <v>0</v>
      </c>
      <c r="ER145" s="1">
        <v>0</v>
      </c>
      <c r="ES145" s="1">
        <v>0</v>
      </c>
      <c r="ET145" s="1">
        <v>0</v>
      </c>
      <c r="EU145" s="1">
        <v>0</v>
      </c>
      <c r="EV145" s="1">
        <v>0</v>
      </c>
      <c r="EW145" s="1">
        <v>0</v>
      </c>
      <c r="EX145" s="1">
        <v>0</v>
      </c>
      <c r="EY145" s="1">
        <v>0</v>
      </c>
      <c r="EZ145" s="1">
        <v>0</v>
      </c>
      <c r="FA145" s="1">
        <v>0</v>
      </c>
      <c r="FB145" s="1">
        <v>0</v>
      </c>
      <c r="FC145" s="1">
        <v>0</v>
      </c>
      <c r="FD145" s="1">
        <v>0</v>
      </c>
      <c r="FE145" s="1">
        <f t="shared" si="46"/>
        <v>17</v>
      </c>
      <c r="FF145" s="1">
        <f>ES157</f>
        <v>4</v>
      </c>
      <c r="FG145" s="1">
        <f t="shared" si="47"/>
        <v>0</v>
      </c>
    </row>
    <row r="146" spans="8:163" ht="15.75" thickBot="1" x14ac:dyDescent="0.3">
      <c r="H146" s="1" t="s">
        <v>79</v>
      </c>
      <c r="I146" s="1">
        <f t="shared" si="45"/>
        <v>0</v>
      </c>
      <c r="J146" s="1">
        <f t="shared" si="49"/>
        <v>0</v>
      </c>
      <c r="K146" s="1">
        <f t="shared" si="50"/>
        <v>0</v>
      </c>
      <c r="L146" s="1">
        <f t="shared" si="51"/>
        <v>0</v>
      </c>
      <c r="M146" s="1">
        <f t="shared" si="52"/>
        <v>0</v>
      </c>
      <c r="N146" s="1">
        <f t="shared" si="53"/>
        <v>0</v>
      </c>
      <c r="O146" s="1">
        <f t="shared" si="54"/>
        <v>0</v>
      </c>
      <c r="P146" s="1">
        <f t="shared" si="55"/>
        <v>0</v>
      </c>
      <c r="Q146" s="1">
        <f t="shared" si="56"/>
        <v>0</v>
      </c>
      <c r="R146" s="1">
        <f t="shared" si="57"/>
        <v>0</v>
      </c>
      <c r="S146" s="1">
        <f t="shared" si="58"/>
        <v>0</v>
      </c>
      <c r="T146" s="1">
        <f t="shared" si="59"/>
        <v>0</v>
      </c>
      <c r="U146" s="1">
        <f t="shared" si="60"/>
        <v>0</v>
      </c>
      <c r="V146" s="1">
        <f t="shared" si="61"/>
        <v>0</v>
      </c>
      <c r="W146" s="1">
        <f t="shared" si="62"/>
        <v>0</v>
      </c>
      <c r="X146" s="1">
        <f t="shared" si="63"/>
        <v>0</v>
      </c>
      <c r="Y146" s="1">
        <f t="shared" si="64"/>
        <v>0</v>
      </c>
      <c r="Z146" s="1">
        <f t="shared" si="65"/>
        <v>0</v>
      </c>
      <c r="AA146" s="1">
        <f t="shared" si="66"/>
        <v>0</v>
      </c>
      <c r="AB146" s="1">
        <f t="shared" si="67"/>
        <v>0</v>
      </c>
      <c r="AC146" s="1">
        <f t="shared" si="68"/>
        <v>0</v>
      </c>
      <c r="AD146" s="1">
        <f t="shared" si="69"/>
        <v>0</v>
      </c>
      <c r="AE146" s="1">
        <f t="shared" si="70"/>
        <v>0</v>
      </c>
      <c r="AF146" s="1">
        <f t="shared" si="71"/>
        <v>0</v>
      </c>
      <c r="AG146" s="1">
        <f t="shared" si="72"/>
        <v>0</v>
      </c>
      <c r="AH146" s="1">
        <f t="shared" si="73"/>
        <v>0</v>
      </c>
      <c r="AI146" s="1">
        <f t="shared" si="74"/>
        <v>0</v>
      </c>
      <c r="AJ146" s="1">
        <f t="shared" si="75"/>
        <v>0</v>
      </c>
      <c r="AK146" s="1">
        <f t="shared" si="76"/>
        <v>0</v>
      </c>
      <c r="AL146" s="1">
        <f t="shared" si="77"/>
        <v>0</v>
      </c>
      <c r="AM146" s="1">
        <f t="shared" si="78"/>
        <v>0</v>
      </c>
      <c r="AN146" s="1">
        <f t="shared" si="79"/>
        <v>0</v>
      </c>
      <c r="AO146" s="1">
        <f t="shared" si="80"/>
        <v>0</v>
      </c>
      <c r="AP146" s="1">
        <f t="shared" si="81"/>
        <v>0</v>
      </c>
      <c r="AQ146" s="1">
        <f t="shared" si="82"/>
        <v>0</v>
      </c>
      <c r="AR146" s="1">
        <f t="shared" si="83"/>
        <v>0</v>
      </c>
      <c r="AS146" s="1">
        <f t="shared" si="84"/>
        <v>0</v>
      </c>
      <c r="AT146" s="1">
        <f t="shared" si="85"/>
        <v>0</v>
      </c>
      <c r="AU146" s="1">
        <f t="shared" si="86"/>
        <v>0</v>
      </c>
      <c r="AV146" s="1">
        <f t="shared" si="87"/>
        <v>0</v>
      </c>
      <c r="AW146" s="1">
        <f t="shared" si="88"/>
        <v>0</v>
      </c>
      <c r="AX146" s="1">
        <f t="shared" si="89"/>
        <v>0</v>
      </c>
      <c r="AY146" s="1">
        <f t="shared" si="90"/>
        <v>0</v>
      </c>
      <c r="AZ146" s="1">
        <f t="shared" si="91"/>
        <v>0</v>
      </c>
      <c r="BA146" s="1">
        <f t="shared" si="92"/>
        <v>0</v>
      </c>
      <c r="BB146" s="1">
        <f t="shared" si="93"/>
        <v>0</v>
      </c>
      <c r="BC146" s="1">
        <f t="shared" si="94"/>
        <v>0</v>
      </c>
      <c r="BD146" s="1">
        <f t="shared" si="95"/>
        <v>0</v>
      </c>
      <c r="BE146" s="1">
        <f t="shared" si="96"/>
        <v>0</v>
      </c>
      <c r="BF146" s="1">
        <f t="shared" si="97"/>
        <v>0</v>
      </c>
      <c r="BG146" s="1">
        <f t="shared" si="98"/>
        <v>0</v>
      </c>
      <c r="BH146" s="1">
        <f t="shared" si="99"/>
        <v>0</v>
      </c>
      <c r="BI146" s="1">
        <f t="shared" si="100"/>
        <v>0</v>
      </c>
      <c r="BJ146" s="1">
        <f t="shared" si="101"/>
        <v>0</v>
      </c>
      <c r="BK146" s="1">
        <f t="shared" si="102"/>
        <v>0</v>
      </c>
      <c r="BL146" s="1">
        <f t="shared" si="103"/>
        <v>0</v>
      </c>
      <c r="BM146" s="1">
        <f t="shared" si="104"/>
        <v>0</v>
      </c>
      <c r="BN146" s="1">
        <f t="shared" si="105"/>
        <v>0</v>
      </c>
      <c r="BO146" s="1">
        <f t="shared" si="106"/>
        <v>0</v>
      </c>
      <c r="BP146" s="1">
        <f t="shared" si="107"/>
        <v>0</v>
      </c>
      <c r="BQ146" s="1">
        <f t="shared" si="108"/>
        <v>0</v>
      </c>
      <c r="BR146" s="1">
        <f t="shared" si="109"/>
        <v>0</v>
      </c>
      <c r="BS146" s="1">
        <f t="shared" si="110"/>
        <v>0</v>
      </c>
      <c r="BT146" s="1">
        <f t="shared" si="111"/>
        <v>0</v>
      </c>
      <c r="BU146" s="1">
        <f t="shared" si="48"/>
        <v>0</v>
      </c>
      <c r="BV146" s="1">
        <f t="shared" si="112"/>
        <v>0</v>
      </c>
      <c r="BW146" s="1">
        <f t="shared" si="113"/>
        <v>-25</v>
      </c>
      <c r="BX146" s="1">
        <f t="shared" si="114"/>
        <v>0</v>
      </c>
      <c r="BY146" s="1">
        <f t="shared" si="115"/>
        <v>0</v>
      </c>
      <c r="BZ146" s="1">
        <f t="shared" si="116"/>
        <v>0</v>
      </c>
      <c r="CA146" s="1">
        <f t="shared" si="117"/>
        <v>0</v>
      </c>
      <c r="CB146" s="1">
        <f t="shared" si="118"/>
        <v>0</v>
      </c>
      <c r="CC146" s="1">
        <f t="shared" si="119"/>
        <v>0</v>
      </c>
      <c r="CD146" s="1">
        <f t="shared" si="120"/>
        <v>0</v>
      </c>
      <c r="CE146" s="1"/>
      <c r="CH146" s="1" t="s">
        <v>79</v>
      </c>
      <c r="CI146" s="1">
        <v>0</v>
      </c>
      <c r="CJ146" s="1">
        <v>0</v>
      </c>
      <c r="CK146" s="1">
        <v>0</v>
      </c>
      <c r="CL146" s="1">
        <v>0</v>
      </c>
      <c r="CM146" s="1">
        <v>0</v>
      </c>
      <c r="CN146" s="1">
        <v>0</v>
      </c>
      <c r="CO146" s="1">
        <v>0</v>
      </c>
      <c r="CP146" s="1">
        <v>0</v>
      </c>
      <c r="CQ146" s="1">
        <v>0</v>
      </c>
      <c r="CR146" s="1">
        <v>0</v>
      </c>
      <c r="CS146" s="1">
        <v>0</v>
      </c>
      <c r="CT146" s="1">
        <v>0</v>
      </c>
      <c r="CU146" s="1">
        <v>0</v>
      </c>
      <c r="CV146" s="1">
        <v>0</v>
      </c>
      <c r="CW146" s="1">
        <v>0</v>
      </c>
      <c r="CX146" s="1">
        <v>0</v>
      </c>
      <c r="CY146" s="1">
        <v>0</v>
      </c>
      <c r="CZ146" s="1">
        <v>0</v>
      </c>
      <c r="DA146" s="1">
        <v>0</v>
      </c>
      <c r="DB146" s="1">
        <v>0</v>
      </c>
      <c r="DC146" s="1">
        <v>0</v>
      </c>
      <c r="DD146" s="1">
        <v>0</v>
      </c>
      <c r="DE146" s="1">
        <v>0</v>
      </c>
      <c r="DF146" s="1">
        <v>0</v>
      </c>
      <c r="DG146" s="1">
        <v>0</v>
      </c>
      <c r="DH146" s="1">
        <v>0</v>
      </c>
      <c r="DI146" s="1">
        <v>0</v>
      </c>
      <c r="DJ146" s="1">
        <v>0</v>
      </c>
      <c r="DK146" s="1">
        <v>0</v>
      </c>
      <c r="DL146" s="1">
        <v>0</v>
      </c>
      <c r="DM146" s="1">
        <v>0</v>
      </c>
      <c r="DN146" s="1">
        <v>0</v>
      </c>
      <c r="DO146" s="1">
        <v>0</v>
      </c>
      <c r="DP146" s="1">
        <v>0</v>
      </c>
      <c r="DQ146" s="1">
        <v>0</v>
      </c>
      <c r="DR146" s="1">
        <v>0</v>
      </c>
      <c r="DS146" s="1">
        <v>0</v>
      </c>
      <c r="DT146" s="1">
        <v>0</v>
      </c>
      <c r="DU146" s="1">
        <v>0</v>
      </c>
      <c r="DV146" s="1">
        <v>0</v>
      </c>
      <c r="DW146" s="1">
        <v>0</v>
      </c>
      <c r="DX146" s="1">
        <v>0</v>
      </c>
      <c r="DY146" s="1">
        <v>0</v>
      </c>
      <c r="DZ146" s="1">
        <v>0</v>
      </c>
      <c r="EA146" s="1">
        <v>0</v>
      </c>
      <c r="EB146" s="1">
        <v>0</v>
      </c>
      <c r="EC146" s="1">
        <v>0</v>
      </c>
      <c r="ED146" s="1">
        <v>0</v>
      </c>
      <c r="EE146" s="1">
        <v>0</v>
      </c>
      <c r="EF146" s="1">
        <v>0</v>
      </c>
      <c r="EG146" s="1">
        <v>0</v>
      </c>
      <c r="EH146" s="1">
        <v>0</v>
      </c>
      <c r="EI146" s="1">
        <v>0</v>
      </c>
      <c r="EJ146" s="1">
        <v>0</v>
      </c>
      <c r="EK146" s="1">
        <v>0</v>
      </c>
      <c r="EL146" s="1">
        <v>0</v>
      </c>
      <c r="EM146" s="1">
        <v>0</v>
      </c>
      <c r="EN146" s="1">
        <v>0</v>
      </c>
      <c r="EO146" s="1">
        <v>0</v>
      </c>
      <c r="EP146" s="1">
        <v>0</v>
      </c>
      <c r="EQ146" s="1">
        <v>0</v>
      </c>
      <c r="ER146" s="1">
        <v>0</v>
      </c>
      <c r="ES146" s="1">
        <v>0</v>
      </c>
      <c r="ET146" s="1">
        <v>0</v>
      </c>
      <c r="EU146" s="1">
        <v>0</v>
      </c>
      <c r="EV146" s="1">
        <v>0</v>
      </c>
      <c r="EW146" s="1">
        <v>45</v>
      </c>
      <c r="EX146" s="1">
        <v>0</v>
      </c>
      <c r="EY146" s="1">
        <v>0</v>
      </c>
      <c r="EZ146" s="1">
        <v>0</v>
      </c>
      <c r="FA146" s="1">
        <v>0</v>
      </c>
      <c r="FB146" s="1">
        <v>0</v>
      </c>
      <c r="FC146" s="1">
        <v>0</v>
      </c>
      <c r="FD146" s="1">
        <v>0</v>
      </c>
      <c r="FE146" s="1">
        <f t="shared" si="46"/>
        <v>45</v>
      </c>
      <c r="FF146" s="1">
        <f>ET157</f>
        <v>40</v>
      </c>
      <c r="FG146" s="1">
        <f t="shared" si="47"/>
        <v>0</v>
      </c>
    </row>
    <row r="147" spans="8:163" ht="15.75" thickBot="1" x14ac:dyDescent="0.3">
      <c r="H147" s="1" t="s">
        <v>80</v>
      </c>
      <c r="I147" s="1">
        <f t="shared" si="45"/>
        <v>0</v>
      </c>
      <c r="J147" s="1">
        <f t="shared" si="49"/>
        <v>0</v>
      </c>
      <c r="K147" s="1">
        <f t="shared" si="50"/>
        <v>0</v>
      </c>
      <c r="L147" s="1">
        <f t="shared" si="51"/>
        <v>0</v>
      </c>
      <c r="M147" s="1">
        <f t="shared" si="52"/>
        <v>0</v>
      </c>
      <c r="N147" s="1">
        <f t="shared" si="53"/>
        <v>0</v>
      </c>
      <c r="O147" s="1">
        <f t="shared" si="54"/>
        <v>0</v>
      </c>
      <c r="P147" s="1">
        <f t="shared" si="55"/>
        <v>0</v>
      </c>
      <c r="Q147" s="1">
        <f t="shared" si="56"/>
        <v>0</v>
      </c>
      <c r="R147" s="1">
        <f t="shared" si="57"/>
        <v>0</v>
      </c>
      <c r="S147" s="1">
        <f t="shared" si="58"/>
        <v>0</v>
      </c>
      <c r="T147" s="1">
        <f t="shared" si="59"/>
        <v>0</v>
      </c>
      <c r="U147" s="1">
        <f t="shared" si="60"/>
        <v>0</v>
      </c>
      <c r="V147" s="1">
        <f t="shared" si="61"/>
        <v>0</v>
      </c>
      <c r="W147" s="1">
        <f t="shared" si="62"/>
        <v>0</v>
      </c>
      <c r="X147" s="1">
        <f t="shared" si="63"/>
        <v>0</v>
      </c>
      <c r="Y147" s="1">
        <f t="shared" si="64"/>
        <v>0</v>
      </c>
      <c r="Z147" s="1">
        <f t="shared" si="65"/>
        <v>0</v>
      </c>
      <c r="AA147" s="1">
        <f t="shared" si="66"/>
        <v>0</v>
      </c>
      <c r="AB147" s="1">
        <f t="shared" si="67"/>
        <v>0</v>
      </c>
      <c r="AC147" s="1">
        <f t="shared" si="68"/>
        <v>0</v>
      </c>
      <c r="AD147" s="1">
        <f t="shared" si="69"/>
        <v>0</v>
      </c>
      <c r="AE147" s="1">
        <f t="shared" si="70"/>
        <v>0</v>
      </c>
      <c r="AF147" s="1">
        <f t="shared" si="71"/>
        <v>0</v>
      </c>
      <c r="AG147" s="1">
        <f t="shared" si="72"/>
        <v>0</v>
      </c>
      <c r="AH147" s="1">
        <f t="shared" si="73"/>
        <v>0</v>
      </c>
      <c r="AI147" s="1">
        <f t="shared" si="74"/>
        <v>0</v>
      </c>
      <c r="AJ147" s="1">
        <f t="shared" si="75"/>
        <v>0</v>
      </c>
      <c r="AK147" s="1">
        <f t="shared" si="76"/>
        <v>0</v>
      </c>
      <c r="AL147" s="1">
        <f t="shared" si="77"/>
        <v>0</v>
      </c>
      <c r="AM147" s="1">
        <f t="shared" si="78"/>
        <v>0</v>
      </c>
      <c r="AN147" s="1">
        <f t="shared" si="79"/>
        <v>0</v>
      </c>
      <c r="AO147" s="1">
        <f t="shared" si="80"/>
        <v>0</v>
      </c>
      <c r="AP147" s="1">
        <f t="shared" si="81"/>
        <v>0</v>
      </c>
      <c r="AQ147" s="1">
        <f t="shared" si="82"/>
        <v>0</v>
      </c>
      <c r="AR147" s="1">
        <f t="shared" si="83"/>
        <v>0</v>
      </c>
      <c r="AS147" s="1">
        <f t="shared" si="84"/>
        <v>0</v>
      </c>
      <c r="AT147" s="1">
        <f t="shared" si="85"/>
        <v>0</v>
      </c>
      <c r="AU147" s="1">
        <f t="shared" si="86"/>
        <v>0</v>
      </c>
      <c r="AV147" s="1">
        <f t="shared" si="87"/>
        <v>0</v>
      </c>
      <c r="AW147" s="1">
        <f t="shared" si="88"/>
        <v>0</v>
      </c>
      <c r="AX147" s="1">
        <f t="shared" si="89"/>
        <v>0</v>
      </c>
      <c r="AY147" s="1">
        <f t="shared" si="90"/>
        <v>0</v>
      </c>
      <c r="AZ147" s="1">
        <f t="shared" si="91"/>
        <v>0</v>
      </c>
      <c r="BA147" s="1">
        <f t="shared" si="92"/>
        <v>0</v>
      </c>
      <c r="BB147" s="1">
        <f t="shared" si="93"/>
        <v>0</v>
      </c>
      <c r="BC147" s="1">
        <f t="shared" si="94"/>
        <v>0</v>
      </c>
      <c r="BD147" s="1">
        <f t="shared" si="95"/>
        <v>0</v>
      </c>
      <c r="BE147" s="1">
        <f t="shared" si="96"/>
        <v>0</v>
      </c>
      <c r="BF147" s="1">
        <f t="shared" si="97"/>
        <v>0</v>
      </c>
      <c r="BG147" s="1">
        <f t="shared" si="98"/>
        <v>0</v>
      </c>
      <c r="BH147" s="1">
        <f t="shared" si="99"/>
        <v>0</v>
      </c>
      <c r="BI147" s="1">
        <f t="shared" si="100"/>
        <v>0</v>
      </c>
      <c r="BJ147" s="1">
        <f t="shared" si="101"/>
        <v>0</v>
      </c>
      <c r="BK147" s="1">
        <f t="shared" si="102"/>
        <v>0</v>
      </c>
      <c r="BL147" s="1">
        <f t="shared" si="103"/>
        <v>0</v>
      </c>
      <c r="BM147" s="1">
        <f t="shared" si="104"/>
        <v>0</v>
      </c>
      <c r="BN147" s="1">
        <f t="shared" si="105"/>
        <v>0</v>
      </c>
      <c r="BO147" s="1">
        <f t="shared" si="106"/>
        <v>0</v>
      </c>
      <c r="BP147" s="1">
        <f t="shared" si="107"/>
        <v>0</v>
      </c>
      <c r="BQ147" s="1">
        <f t="shared" si="108"/>
        <v>0</v>
      </c>
      <c r="BR147" s="1">
        <f t="shared" si="109"/>
        <v>0</v>
      </c>
      <c r="BS147" s="1">
        <f t="shared" si="110"/>
        <v>0</v>
      </c>
      <c r="BT147" s="1">
        <f t="shared" si="111"/>
        <v>-30</v>
      </c>
      <c r="BU147" s="1">
        <f t="shared" si="48"/>
        <v>0</v>
      </c>
      <c r="BV147" s="1">
        <f t="shared" si="112"/>
        <v>0</v>
      </c>
      <c r="BW147" s="1">
        <f t="shared" si="113"/>
        <v>0</v>
      </c>
      <c r="BX147" s="1">
        <f t="shared" si="114"/>
        <v>0</v>
      </c>
      <c r="BY147" s="1">
        <f t="shared" si="115"/>
        <v>0</v>
      </c>
      <c r="BZ147" s="1">
        <f t="shared" si="116"/>
        <v>0</v>
      </c>
      <c r="CA147" s="1">
        <f t="shared" si="117"/>
        <v>0</v>
      </c>
      <c r="CB147" s="1">
        <f t="shared" si="118"/>
        <v>0</v>
      </c>
      <c r="CC147" s="1">
        <f t="shared" si="119"/>
        <v>0</v>
      </c>
      <c r="CD147" s="1">
        <f t="shared" si="120"/>
        <v>0</v>
      </c>
      <c r="CE147" s="1"/>
      <c r="CH147" s="1" t="s">
        <v>80</v>
      </c>
      <c r="CI147" s="1">
        <v>0</v>
      </c>
      <c r="CJ147" s="1">
        <v>0</v>
      </c>
      <c r="CK147" s="1">
        <v>0</v>
      </c>
      <c r="CL147" s="1">
        <v>0</v>
      </c>
      <c r="CM147" s="1">
        <v>0</v>
      </c>
      <c r="CN147" s="1">
        <v>0</v>
      </c>
      <c r="CO147" s="1">
        <v>0</v>
      </c>
      <c r="CP147" s="1">
        <v>0</v>
      </c>
      <c r="CQ147" s="1">
        <v>0</v>
      </c>
      <c r="CR147" s="1">
        <v>0</v>
      </c>
      <c r="CS147" s="1">
        <v>0</v>
      </c>
      <c r="CT147" s="1">
        <v>0</v>
      </c>
      <c r="CU147" s="1">
        <v>0</v>
      </c>
      <c r="CV147" s="1">
        <v>0</v>
      </c>
      <c r="CW147" s="1">
        <v>0</v>
      </c>
      <c r="CX147" s="1">
        <v>0</v>
      </c>
      <c r="CY147" s="1">
        <v>0</v>
      </c>
      <c r="CZ147" s="1">
        <v>0</v>
      </c>
      <c r="DA147" s="1">
        <v>0</v>
      </c>
      <c r="DB147" s="1">
        <v>0</v>
      </c>
      <c r="DC147" s="1">
        <v>0</v>
      </c>
      <c r="DD147" s="1">
        <v>0</v>
      </c>
      <c r="DE147" s="1">
        <v>0</v>
      </c>
      <c r="DF147" s="1">
        <v>0</v>
      </c>
      <c r="DG147" s="1">
        <v>0</v>
      </c>
      <c r="DH147" s="1">
        <v>0</v>
      </c>
      <c r="DI147" s="1">
        <v>0</v>
      </c>
      <c r="DJ147" s="1">
        <v>0</v>
      </c>
      <c r="DK147" s="1">
        <v>0</v>
      </c>
      <c r="DL147" s="1">
        <v>0</v>
      </c>
      <c r="DM147" s="1">
        <v>0</v>
      </c>
      <c r="DN147" s="1">
        <v>0</v>
      </c>
      <c r="DO147" s="1">
        <v>0</v>
      </c>
      <c r="DP147" s="1">
        <v>0</v>
      </c>
      <c r="DQ147" s="1">
        <v>0</v>
      </c>
      <c r="DR147" s="1">
        <v>0</v>
      </c>
      <c r="DS147" s="1">
        <v>0</v>
      </c>
      <c r="DT147" s="1">
        <v>0</v>
      </c>
      <c r="DU147" s="1">
        <v>0</v>
      </c>
      <c r="DV147" s="1">
        <v>0</v>
      </c>
      <c r="DW147" s="1">
        <v>0</v>
      </c>
      <c r="DX147" s="1">
        <v>0</v>
      </c>
      <c r="DY147" s="1">
        <v>0</v>
      </c>
      <c r="DZ147" s="1">
        <v>0</v>
      </c>
      <c r="EA147" s="1">
        <v>0</v>
      </c>
      <c r="EB147" s="1">
        <v>0</v>
      </c>
      <c r="EC147" s="1">
        <v>0</v>
      </c>
      <c r="ED147" s="1">
        <v>0</v>
      </c>
      <c r="EE147" s="1">
        <v>0</v>
      </c>
      <c r="EF147" s="1">
        <v>0</v>
      </c>
      <c r="EG147" s="1">
        <v>0</v>
      </c>
      <c r="EH147" s="1">
        <v>0</v>
      </c>
      <c r="EI147" s="1">
        <v>0</v>
      </c>
      <c r="EJ147" s="1">
        <v>0</v>
      </c>
      <c r="EK147" s="1">
        <v>0</v>
      </c>
      <c r="EL147" s="1">
        <v>0</v>
      </c>
      <c r="EM147" s="1">
        <v>0</v>
      </c>
      <c r="EN147" s="1">
        <v>0</v>
      </c>
      <c r="EO147" s="1">
        <v>0</v>
      </c>
      <c r="EP147" s="1">
        <v>0</v>
      </c>
      <c r="EQ147" s="1">
        <v>0</v>
      </c>
      <c r="ER147" s="1">
        <v>0</v>
      </c>
      <c r="ES147" s="1">
        <v>0</v>
      </c>
      <c r="ET147" s="1">
        <v>40</v>
      </c>
      <c r="EU147" s="1">
        <v>0</v>
      </c>
      <c r="EV147" s="1">
        <v>0</v>
      </c>
      <c r="EW147" s="1">
        <v>0</v>
      </c>
      <c r="EX147" s="1">
        <v>0</v>
      </c>
      <c r="EY147" s="1">
        <v>0</v>
      </c>
      <c r="EZ147" s="1">
        <v>0</v>
      </c>
      <c r="FA147" s="1">
        <v>0</v>
      </c>
      <c r="FB147" s="1">
        <v>0</v>
      </c>
      <c r="FC147" s="1">
        <v>0</v>
      </c>
      <c r="FD147" s="1">
        <v>0</v>
      </c>
      <c r="FE147" s="1">
        <f t="shared" si="46"/>
        <v>40</v>
      </c>
      <c r="FF147" s="1">
        <f>EU157</f>
        <v>28</v>
      </c>
      <c r="FG147" s="1">
        <f t="shared" si="47"/>
        <v>0</v>
      </c>
    </row>
    <row r="148" spans="8:163" ht="15.75" thickBot="1" x14ac:dyDescent="0.3">
      <c r="H148" s="1" t="s">
        <v>81</v>
      </c>
      <c r="I148" s="1">
        <f t="shared" ref="I148:I156" si="121">CI148-CI69*$C$2</f>
        <v>0</v>
      </c>
      <c r="J148" s="1">
        <f t="shared" si="49"/>
        <v>0</v>
      </c>
      <c r="K148" s="1">
        <f t="shared" si="50"/>
        <v>0</v>
      </c>
      <c r="L148" s="1">
        <f t="shared" si="51"/>
        <v>0</v>
      </c>
      <c r="M148" s="1">
        <f t="shared" si="52"/>
        <v>0</v>
      </c>
      <c r="N148" s="1">
        <f t="shared" si="53"/>
        <v>0</v>
      </c>
      <c r="O148" s="1">
        <f t="shared" si="54"/>
        <v>0</v>
      </c>
      <c r="P148" s="1">
        <f t="shared" si="55"/>
        <v>0</v>
      </c>
      <c r="Q148" s="1">
        <f t="shared" si="56"/>
        <v>0</v>
      </c>
      <c r="R148" s="1">
        <f t="shared" si="57"/>
        <v>0</v>
      </c>
      <c r="S148" s="1">
        <f t="shared" si="58"/>
        <v>0</v>
      </c>
      <c r="T148" s="1">
        <f t="shared" si="59"/>
        <v>0</v>
      </c>
      <c r="U148" s="1">
        <f t="shared" si="60"/>
        <v>0</v>
      </c>
      <c r="V148" s="1">
        <f t="shared" si="61"/>
        <v>0</v>
      </c>
      <c r="W148" s="1">
        <f t="shared" si="62"/>
        <v>0</v>
      </c>
      <c r="X148" s="1">
        <f t="shared" si="63"/>
        <v>0</v>
      </c>
      <c r="Y148" s="1">
        <f t="shared" si="64"/>
        <v>0</v>
      </c>
      <c r="Z148" s="1">
        <f t="shared" si="65"/>
        <v>0</v>
      </c>
      <c r="AA148" s="1">
        <f t="shared" si="66"/>
        <v>0</v>
      </c>
      <c r="AB148" s="1">
        <f t="shared" si="67"/>
        <v>0</v>
      </c>
      <c r="AC148" s="1">
        <f t="shared" si="68"/>
        <v>0</v>
      </c>
      <c r="AD148" s="1">
        <f t="shared" si="69"/>
        <v>0</v>
      </c>
      <c r="AE148" s="1">
        <f t="shared" si="70"/>
        <v>0</v>
      </c>
      <c r="AF148" s="1">
        <f t="shared" si="71"/>
        <v>0</v>
      </c>
      <c r="AG148" s="1">
        <f t="shared" si="72"/>
        <v>0</v>
      </c>
      <c r="AH148" s="1">
        <f t="shared" si="73"/>
        <v>0</v>
      </c>
      <c r="AI148" s="1">
        <f t="shared" si="74"/>
        <v>0</v>
      </c>
      <c r="AJ148" s="1">
        <f t="shared" si="75"/>
        <v>0</v>
      </c>
      <c r="AK148" s="1">
        <f t="shared" si="76"/>
        <v>0</v>
      </c>
      <c r="AL148" s="1">
        <f t="shared" si="77"/>
        <v>0</v>
      </c>
      <c r="AM148" s="1">
        <f t="shared" si="78"/>
        <v>0</v>
      </c>
      <c r="AN148" s="1">
        <f t="shared" si="79"/>
        <v>0</v>
      </c>
      <c r="AO148" s="1">
        <f t="shared" si="80"/>
        <v>0</v>
      </c>
      <c r="AP148" s="1">
        <f t="shared" si="81"/>
        <v>0</v>
      </c>
      <c r="AQ148" s="1">
        <f t="shared" si="82"/>
        <v>0</v>
      </c>
      <c r="AR148" s="1">
        <f t="shared" si="83"/>
        <v>0</v>
      </c>
      <c r="AS148" s="1">
        <f t="shared" si="84"/>
        <v>0</v>
      </c>
      <c r="AT148" s="1">
        <f t="shared" si="85"/>
        <v>0</v>
      </c>
      <c r="AU148" s="1">
        <f t="shared" si="86"/>
        <v>0</v>
      </c>
      <c r="AV148" s="1">
        <f t="shared" si="87"/>
        <v>0</v>
      </c>
      <c r="AW148" s="1">
        <f t="shared" si="88"/>
        <v>0</v>
      </c>
      <c r="AX148" s="1">
        <f t="shared" si="89"/>
        <v>0</v>
      </c>
      <c r="AY148" s="1">
        <f t="shared" si="90"/>
        <v>0</v>
      </c>
      <c r="AZ148" s="1">
        <f t="shared" si="91"/>
        <v>0</v>
      </c>
      <c r="BA148" s="1">
        <f t="shared" si="92"/>
        <v>0</v>
      </c>
      <c r="BB148" s="1">
        <f t="shared" si="93"/>
        <v>0</v>
      </c>
      <c r="BC148" s="1">
        <f t="shared" si="94"/>
        <v>0</v>
      </c>
      <c r="BD148" s="1">
        <f t="shared" si="95"/>
        <v>0</v>
      </c>
      <c r="BE148" s="1">
        <f t="shared" si="96"/>
        <v>0</v>
      </c>
      <c r="BF148" s="1">
        <f t="shared" si="97"/>
        <v>0</v>
      </c>
      <c r="BG148" s="1">
        <f t="shared" si="98"/>
        <v>0</v>
      </c>
      <c r="BH148" s="1">
        <f t="shared" si="99"/>
        <v>0</v>
      </c>
      <c r="BI148" s="1">
        <f t="shared" si="100"/>
        <v>0</v>
      </c>
      <c r="BJ148" s="1">
        <f t="shared" si="101"/>
        <v>0</v>
      </c>
      <c r="BK148" s="1">
        <f t="shared" si="102"/>
        <v>0</v>
      </c>
      <c r="BL148" s="1">
        <f t="shared" si="103"/>
        <v>0</v>
      </c>
      <c r="BM148" s="1">
        <f t="shared" si="104"/>
        <v>0</v>
      </c>
      <c r="BN148" s="1">
        <f t="shared" si="105"/>
        <v>0</v>
      </c>
      <c r="BO148" s="1">
        <f t="shared" si="106"/>
        <v>0</v>
      </c>
      <c r="BP148" s="1">
        <f t="shared" si="107"/>
        <v>-12</v>
      </c>
      <c r="BQ148" s="1">
        <f t="shared" si="108"/>
        <v>0</v>
      </c>
      <c r="BR148" s="1">
        <f t="shared" si="109"/>
        <v>0</v>
      </c>
      <c r="BS148" s="1">
        <f t="shared" si="110"/>
        <v>0</v>
      </c>
      <c r="BT148" s="1">
        <f t="shared" si="111"/>
        <v>0</v>
      </c>
      <c r="BU148" s="1">
        <f t="shared" si="48"/>
        <v>0</v>
      </c>
      <c r="BV148" s="1">
        <f t="shared" si="112"/>
        <v>0</v>
      </c>
      <c r="BW148" s="1">
        <f t="shared" si="113"/>
        <v>0</v>
      </c>
      <c r="BX148" s="1">
        <f t="shared" si="114"/>
        <v>0</v>
      </c>
      <c r="BY148" s="1">
        <f t="shared" si="115"/>
        <v>0</v>
      </c>
      <c r="BZ148" s="1">
        <f t="shared" si="116"/>
        <v>0</v>
      </c>
      <c r="CA148" s="1">
        <f t="shared" si="117"/>
        <v>0</v>
      </c>
      <c r="CB148" s="1">
        <f t="shared" si="118"/>
        <v>0</v>
      </c>
      <c r="CC148" s="1">
        <f t="shared" si="119"/>
        <v>0</v>
      </c>
      <c r="CD148" s="1">
        <f t="shared" si="120"/>
        <v>0</v>
      </c>
      <c r="CE148" s="1"/>
      <c r="CH148" s="1" t="s">
        <v>81</v>
      </c>
      <c r="CI148" s="1">
        <v>0</v>
      </c>
      <c r="CJ148" s="1">
        <v>0</v>
      </c>
      <c r="CK148" s="1">
        <v>0</v>
      </c>
      <c r="CL148" s="1">
        <v>0</v>
      </c>
      <c r="CM148" s="1">
        <v>0</v>
      </c>
      <c r="CN148" s="1">
        <v>0</v>
      </c>
      <c r="CO148" s="1">
        <v>0</v>
      </c>
      <c r="CP148" s="1">
        <v>0</v>
      </c>
      <c r="CQ148" s="1">
        <v>0</v>
      </c>
      <c r="CR148" s="1">
        <v>0</v>
      </c>
      <c r="CS148" s="1">
        <v>0</v>
      </c>
      <c r="CT148" s="1">
        <v>0</v>
      </c>
      <c r="CU148" s="1">
        <v>0</v>
      </c>
      <c r="CV148" s="1">
        <v>0</v>
      </c>
      <c r="CW148" s="1">
        <v>0</v>
      </c>
      <c r="CX148" s="1">
        <v>0</v>
      </c>
      <c r="CY148" s="1">
        <v>0</v>
      </c>
      <c r="CZ148" s="1">
        <v>0</v>
      </c>
      <c r="DA148" s="1">
        <v>0</v>
      </c>
      <c r="DB148" s="1">
        <v>0</v>
      </c>
      <c r="DC148" s="1">
        <v>0</v>
      </c>
      <c r="DD148" s="1">
        <v>0</v>
      </c>
      <c r="DE148" s="1">
        <v>0</v>
      </c>
      <c r="DF148" s="1">
        <v>0</v>
      </c>
      <c r="DG148" s="1">
        <v>0</v>
      </c>
      <c r="DH148" s="1">
        <v>0</v>
      </c>
      <c r="DI148" s="1">
        <v>0</v>
      </c>
      <c r="DJ148" s="1">
        <v>0</v>
      </c>
      <c r="DK148" s="1">
        <v>0</v>
      </c>
      <c r="DL148" s="1">
        <v>0</v>
      </c>
      <c r="DM148" s="1">
        <v>0</v>
      </c>
      <c r="DN148" s="1">
        <v>0</v>
      </c>
      <c r="DO148" s="1">
        <v>0</v>
      </c>
      <c r="DP148" s="1">
        <v>0</v>
      </c>
      <c r="DQ148" s="1">
        <v>0</v>
      </c>
      <c r="DR148" s="1">
        <v>0</v>
      </c>
      <c r="DS148" s="1">
        <v>0</v>
      </c>
      <c r="DT148" s="1">
        <v>0</v>
      </c>
      <c r="DU148" s="1">
        <v>0</v>
      </c>
      <c r="DV148" s="1">
        <v>0</v>
      </c>
      <c r="DW148" s="1">
        <v>0</v>
      </c>
      <c r="DX148" s="1">
        <v>0</v>
      </c>
      <c r="DY148" s="1">
        <v>0</v>
      </c>
      <c r="DZ148" s="1">
        <v>0</v>
      </c>
      <c r="EA148" s="1">
        <v>0</v>
      </c>
      <c r="EB148" s="1">
        <v>0</v>
      </c>
      <c r="EC148" s="1">
        <v>0</v>
      </c>
      <c r="ED148" s="1">
        <v>0</v>
      </c>
      <c r="EE148" s="1">
        <v>0</v>
      </c>
      <c r="EF148" s="1">
        <v>0</v>
      </c>
      <c r="EG148" s="1">
        <v>0</v>
      </c>
      <c r="EH148" s="1">
        <v>0</v>
      </c>
      <c r="EI148" s="1">
        <v>0</v>
      </c>
      <c r="EJ148" s="1">
        <v>0</v>
      </c>
      <c r="EK148" s="1">
        <v>0</v>
      </c>
      <c r="EL148" s="1">
        <v>0</v>
      </c>
      <c r="EM148" s="1">
        <v>0</v>
      </c>
      <c r="EN148" s="1">
        <v>0</v>
      </c>
      <c r="EO148" s="1">
        <v>0</v>
      </c>
      <c r="EP148" s="1">
        <v>58</v>
      </c>
      <c r="EQ148" s="1">
        <v>0</v>
      </c>
      <c r="ER148" s="1">
        <v>0</v>
      </c>
      <c r="ES148" s="1">
        <v>0</v>
      </c>
      <c r="ET148" s="1">
        <v>0</v>
      </c>
      <c r="EU148" s="1">
        <v>0</v>
      </c>
      <c r="EV148" s="1">
        <v>0</v>
      </c>
      <c r="EW148" s="1">
        <v>0</v>
      </c>
      <c r="EX148" s="1">
        <v>0</v>
      </c>
      <c r="EY148" s="1">
        <v>0</v>
      </c>
      <c r="EZ148" s="1">
        <v>0</v>
      </c>
      <c r="FA148" s="1">
        <v>0</v>
      </c>
      <c r="FB148" s="1">
        <v>0</v>
      </c>
      <c r="FC148" s="1">
        <v>0</v>
      </c>
      <c r="FD148" s="1">
        <v>0</v>
      </c>
      <c r="FE148" s="1">
        <f t="shared" ref="FE148:FE156" si="122">SUM(CI148:FD148)</f>
        <v>58</v>
      </c>
      <c r="FF148" s="1">
        <f>EV157</f>
        <v>46</v>
      </c>
      <c r="FG148" s="1">
        <f t="shared" si="47"/>
        <v>0</v>
      </c>
    </row>
    <row r="149" spans="8:163" ht="15.75" thickBot="1" x14ac:dyDescent="0.3">
      <c r="H149" s="1" t="s">
        <v>82</v>
      </c>
      <c r="I149" s="1">
        <f t="shared" si="121"/>
        <v>0</v>
      </c>
      <c r="J149" s="1">
        <f t="shared" si="49"/>
        <v>0</v>
      </c>
      <c r="K149" s="1">
        <f t="shared" si="50"/>
        <v>0</v>
      </c>
      <c r="L149" s="1">
        <f t="shared" si="51"/>
        <v>0</v>
      </c>
      <c r="M149" s="1">
        <f t="shared" si="52"/>
        <v>0</v>
      </c>
      <c r="N149" s="1">
        <f t="shared" si="53"/>
        <v>0</v>
      </c>
      <c r="O149" s="1">
        <f t="shared" si="54"/>
        <v>0</v>
      </c>
      <c r="P149" s="1">
        <f t="shared" si="55"/>
        <v>0</v>
      </c>
      <c r="Q149" s="1">
        <f t="shared" si="56"/>
        <v>0</v>
      </c>
      <c r="R149" s="1">
        <f t="shared" si="57"/>
        <v>0</v>
      </c>
      <c r="S149" s="1">
        <f t="shared" si="58"/>
        <v>0</v>
      </c>
      <c r="T149" s="1">
        <f t="shared" si="59"/>
        <v>0</v>
      </c>
      <c r="U149" s="1">
        <f t="shared" si="60"/>
        <v>0</v>
      </c>
      <c r="V149" s="1">
        <f t="shared" si="61"/>
        <v>0</v>
      </c>
      <c r="W149" s="1">
        <f t="shared" si="62"/>
        <v>0</v>
      </c>
      <c r="X149" s="1">
        <f t="shared" si="63"/>
        <v>0</v>
      </c>
      <c r="Y149" s="1">
        <f t="shared" si="64"/>
        <v>0</v>
      </c>
      <c r="Z149" s="1">
        <f t="shared" si="65"/>
        <v>0</v>
      </c>
      <c r="AA149" s="1">
        <f t="shared" si="66"/>
        <v>0</v>
      </c>
      <c r="AB149" s="1">
        <f t="shared" si="67"/>
        <v>0</v>
      </c>
      <c r="AC149" s="1">
        <f t="shared" si="68"/>
        <v>0</v>
      </c>
      <c r="AD149" s="1">
        <f t="shared" si="69"/>
        <v>0</v>
      </c>
      <c r="AE149" s="1">
        <f t="shared" si="70"/>
        <v>0</v>
      </c>
      <c r="AF149" s="1">
        <f t="shared" si="71"/>
        <v>0</v>
      </c>
      <c r="AG149" s="1">
        <f t="shared" si="72"/>
        <v>0</v>
      </c>
      <c r="AH149" s="1">
        <f t="shared" si="73"/>
        <v>0</v>
      </c>
      <c r="AI149" s="1">
        <f t="shared" si="74"/>
        <v>0</v>
      </c>
      <c r="AJ149" s="1">
        <f t="shared" si="75"/>
        <v>0</v>
      </c>
      <c r="AK149" s="1">
        <f t="shared" si="76"/>
        <v>0</v>
      </c>
      <c r="AL149" s="1">
        <f t="shared" si="77"/>
        <v>0</v>
      </c>
      <c r="AM149" s="1">
        <f t="shared" si="78"/>
        <v>0</v>
      </c>
      <c r="AN149" s="1">
        <f t="shared" si="79"/>
        <v>0</v>
      </c>
      <c r="AO149" s="1">
        <f t="shared" si="80"/>
        <v>0</v>
      </c>
      <c r="AP149" s="1">
        <f t="shared" si="81"/>
        <v>0</v>
      </c>
      <c r="AQ149" s="1">
        <f t="shared" si="82"/>
        <v>0</v>
      </c>
      <c r="AR149" s="1">
        <f t="shared" si="83"/>
        <v>0</v>
      </c>
      <c r="AS149" s="1">
        <f t="shared" si="84"/>
        <v>0</v>
      </c>
      <c r="AT149" s="1">
        <f t="shared" si="85"/>
        <v>-21</v>
      </c>
      <c r="AU149" s="1">
        <f t="shared" si="86"/>
        <v>0</v>
      </c>
      <c r="AV149" s="1">
        <f t="shared" si="87"/>
        <v>0</v>
      </c>
      <c r="AW149" s="1">
        <f t="shared" si="88"/>
        <v>0</v>
      </c>
      <c r="AX149" s="1">
        <f t="shared" si="89"/>
        <v>0</v>
      </c>
      <c r="AY149" s="1">
        <f t="shared" si="90"/>
        <v>0</v>
      </c>
      <c r="AZ149" s="1">
        <f t="shared" si="91"/>
        <v>0</v>
      </c>
      <c r="BA149" s="1">
        <f t="shared" si="92"/>
        <v>0</v>
      </c>
      <c r="BB149" s="1">
        <f t="shared" si="93"/>
        <v>0</v>
      </c>
      <c r="BC149" s="1">
        <f t="shared" si="94"/>
        <v>0</v>
      </c>
      <c r="BD149" s="1">
        <f t="shared" si="95"/>
        <v>0</v>
      </c>
      <c r="BE149" s="1">
        <f t="shared" si="96"/>
        <v>0</v>
      </c>
      <c r="BF149" s="1">
        <f t="shared" si="97"/>
        <v>0</v>
      </c>
      <c r="BG149" s="1">
        <f t="shared" si="98"/>
        <v>0</v>
      </c>
      <c r="BH149" s="1">
        <f t="shared" si="99"/>
        <v>0</v>
      </c>
      <c r="BI149" s="1">
        <f t="shared" si="100"/>
        <v>0</v>
      </c>
      <c r="BJ149" s="1">
        <f t="shared" si="101"/>
        <v>0</v>
      </c>
      <c r="BK149" s="1">
        <f t="shared" si="102"/>
        <v>0</v>
      </c>
      <c r="BL149" s="1">
        <f t="shared" si="103"/>
        <v>0</v>
      </c>
      <c r="BM149" s="1">
        <f t="shared" si="104"/>
        <v>0</v>
      </c>
      <c r="BN149" s="1">
        <f t="shared" si="105"/>
        <v>0</v>
      </c>
      <c r="BO149" s="1">
        <f t="shared" si="106"/>
        <v>0</v>
      </c>
      <c r="BP149" s="1">
        <f t="shared" si="107"/>
        <v>0</v>
      </c>
      <c r="BQ149" s="1">
        <f t="shared" si="108"/>
        <v>0</v>
      </c>
      <c r="BR149" s="1">
        <f t="shared" si="109"/>
        <v>0</v>
      </c>
      <c r="BS149" s="1">
        <f t="shared" si="110"/>
        <v>0</v>
      </c>
      <c r="BT149" s="1">
        <f t="shared" si="111"/>
        <v>0</v>
      </c>
      <c r="BU149" s="1">
        <f t="shared" si="48"/>
        <v>0</v>
      </c>
      <c r="BV149" s="1">
        <f t="shared" si="112"/>
        <v>0</v>
      </c>
      <c r="BW149" s="1">
        <f t="shared" si="113"/>
        <v>0</v>
      </c>
      <c r="BX149" s="1">
        <f t="shared" si="114"/>
        <v>0</v>
      </c>
      <c r="BY149" s="1">
        <f t="shared" si="115"/>
        <v>0</v>
      </c>
      <c r="BZ149" s="1">
        <f t="shared" si="116"/>
        <v>0</v>
      </c>
      <c r="CA149" s="1">
        <f t="shared" si="117"/>
        <v>0</v>
      </c>
      <c r="CB149" s="1">
        <f t="shared" si="118"/>
        <v>0</v>
      </c>
      <c r="CC149" s="1">
        <f t="shared" si="119"/>
        <v>0</v>
      </c>
      <c r="CD149" s="1">
        <f t="shared" si="120"/>
        <v>0</v>
      </c>
      <c r="CE149" s="1"/>
      <c r="CH149" s="1" t="s">
        <v>82</v>
      </c>
      <c r="CI149" s="1">
        <v>0</v>
      </c>
      <c r="CJ149" s="1">
        <v>0</v>
      </c>
      <c r="CK149" s="1">
        <v>0</v>
      </c>
      <c r="CL149" s="1">
        <v>0</v>
      </c>
      <c r="CM149" s="1">
        <v>0</v>
      </c>
      <c r="CN149" s="1">
        <v>0</v>
      </c>
      <c r="CO149" s="1">
        <v>0</v>
      </c>
      <c r="CP149" s="1">
        <v>0</v>
      </c>
      <c r="CQ149" s="1">
        <v>0</v>
      </c>
      <c r="CR149" s="1">
        <v>0</v>
      </c>
      <c r="CS149" s="1">
        <v>0</v>
      </c>
      <c r="CT149" s="1">
        <v>0</v>
      </c>
      <c r="CU149" s="1">
        <v>0</v>
      </c>
      <c r="CV149" s="1">
        <v>0</v>
      </c>
      <c r="CW149" s="1">
        <v>0</v>
      </c>
      <c r="CX149" s="1">
        <v>0</v>
      </c>
      <c r="CY149" s="1">
        <v>0</v>
      </c>
      <c r="CZ149" s="1">
        <v>0</v>
      </c>
      <c r="DA149" s="1">
        <v>0</v>
      </c>
      <c r="DB149" s="1">
        <v>0</v>
      </c>
      <c r="DC149" s="1">
        <v>0</v>
      </c>
      <c r="DD149" s="1">
        <v>0</v>
      </c>
      <c r="DE149" s="1">
        <v>0</v>
      </c>
      <c r="DF149" s="1">
        <v>0</v>
      </c>
      <c r="DG149" s="1">
        <v>0</v>
      </c>
      <c r="DH149" s="1">
        <v>0</v>
      </c>
      <c r="DI149" s="1">
        <v>0</v>
      </c>
      <c r="DJ149" s="1">
        <v>0</v>
      </c>
      <c r="DK149" s="1">
        <v>0</v>
      </c>
      <c r="DL149" s="1">
        <v>0</v>
      </c>
      <c r="DM149" s="1">
        <v>0</v>
      </c>
      <c r="DN149" s="1">
        <v>0</v>
      </c>
      <c r="DO149" s="1">
        <v>0</v>
      </c>
      <c r="DP149" s="1">
        <v>0</v>
      </c>
      <c r="DQ149" s="1">
        <v>0</v>
      </c>
      <c r="DR149" s="1">
        <v>0</v>
      </c>
      <c r="DS149" s="1">
        <v>0</v>
      </c>
      <c r="DT149" s="1">
        <v>49</v>
      </c>
      <c r="DU149" s="1">
        <v>0</v>
      </c>
      <c r="DV149" s="1">
        <v>0</v>
      </c>
      <c r="DW149" s="1">
        <v>0</v>
      </c>
      <c r="DX149" s="1">
        <v>0</v>
      </c>
      <c r="DY149" s="1">
        <v>0</v>
      </c>
      <c r="DZ149" s="1">
        <v>0</v>
      </c>
      <c r="EA149" s="1">
        <v>0</v>
      </c>
      <c r="EB149" s="1">
        <v>0</v>
      </c>
      <c r="EC149" s="1">
        <v>0</v>
      </c>
      <c r="ED149" s="1">
        <v>0</v>
      </c>
      <c r="EE149" s="1">
        <v>0</v>
      </c>
      <c r="EF149" s="1">
        <v>0</v>
      </c>
      <c r="EG149" s="1">
        <v>0</v>
      </c>
      <c r="EH149" s="1">
        <v>0</v>
      </c>
      <c r="EI149" s="1">
        <v>0</v>
      </c>
      <c r="EJ149" s="1">
        <v>0</v>
      </c>
      <c r="EK149" s="1">
        <v>0</v>
      </c>
      <c r="EL149" s="1">
        <v>0</v>
      </c>
      <c r="EM149" s="1">
        <v>0</v>
      </c>
      <c r="EN149" s="1">
        <v>0</v>
      </c>
      <c r="EO149" s="1">
        <v>0</v>
      </c>
      <c r="EP149" s="1">
        <v>0</v>
      </c>
      <c r="EQ149" s="1">
        <v>0</v>
      </c>
      <c r="ER149" s="1">
        <v>0</v>
      </c>
      <c r="ES149" s="1">
        <v>0</v>
      </c>
      <c r="ET149" s="1">
        <v>0</v>
      </c>
      <c r="EU149" s="1">
        <v>0</v>
      </c>
      <c r="EV149" s="1">
        <v>0</v>
      </c>
      <c r="EW149" s="1">
        <v>0</v>
      </c>
      <c r="EX149" s="1">
        <v>0</v>
      </c>
      <c r="EY149" s="1">
        <v>0</v>
      </c>
      <c r="EZ149" s="1">
        <v>0</v>
      </c>
      <c r="FA149" s="1">
        <v>0</v>
      </c>
      <c r="FB149" s="1">
        <v>0</v>
      </c>
      <c r="FC149" s="1">
        <v>0</v>
      </c>
      <c r="FD149" s="1">
        <v>0</v>
      </c>
      <c r="FE149" s="1">
        <f t="shared" si="122"/>
        <v>49</v>
      </c>
      <c r="FF149" s="1">
        <f>EW157</f>
        <v>45</v>
      </c>
      <c r="FG149" s="1">
        <f t="shared" ref="FG149:FG156" si="123">-F69-FF149+FE149</f>
        <v>0</v>
      </c>
    </row>
    <row r="150" spans="8:163" ht="15.75" thickBot="1" x14ac:dyDescent="0.3">
      <c r="H150" s="1" t="s">
        <v>83</v>
      </c>
      <c r="I150" s="1">
        <f t="shared" si="121"/>
        <v>0</v>
      </c>
      <c r="J150" s="1">
        <f t="shared" si="49"/>
        <v>0</v>
      </c>
      <c r="K150" s="1">
        <f t="shared" si="50"/>
        <v>0</v>
      </c>
      <c r="L150" s="1">
        <f t="shared" si="51"/>
        <v>0</v>
      </c>
      <c r="M150" s="1">
        <f t="shared" si="52"/>
        <v>0</v>
      </c>
      <c r="N150" s="1">
        <f t="shared" si="53"/>
        <v>0</v>
      </c>
      <c r="O150" s="1">
        <f t="shared" si="54"/>
        <v>0</v>
      </c>
      <c r="P150" s="1">
        <f t="shared" si="55"/>
        <v>0</v>
      </c>
      <c r="Q150" s="1">
        <f t="shared" si="56"/>
        <v>0</v>
      </c>
      <c r="R150" s="1">
        <f t="shared" si="57"/>
        <v>0</v>
      </c>
      <c r="S150" s="1">
        <f t="shared" si="58"/>
        <v>0</v>
      </c>
      <c r="T150" s="1">
        <f t="shared" si="59"/>
        <v>0</v>
      </c>
      <c r="U150" s="1">
        <f t="shared" si="60"/>
        <v>0</v>
      </c>
      <c r="V150" s="1">
        <f t="shared" si="61"/>
        <v>0</v>
      </c>
      <c r="W150" s="1">
        <f t="shared" si="62"/>
        <v>0</v>
      </c>
      <c r="X150" s="1">
        <f t="shared" si="63"/>
        <v>0</v>
      </c>
      <c r="Y150" s="1">
        <f t="shared" si="64"/>
        <v>0</v>
      </c>
      <c r="Z150" s="1">
        <f t="shared" si="65"/>
        <v>0</v>
      </c>
      <c r="AA150" s="1">
        <f t="shared" si="66"/>
        <v>0</v>
      </c>
      <c r="AB150" s="1">
        <f t="shared" si="67"/>
        <v>0</v>
      </c>
      <c r="AC150" s="1">
        <f t="shared" si="68"/>
        <v>0</v>
      </c>
      <c r="AD150" s="1">
        <f t="shared" si="69"/>
        <v>0</v>
      </c>
      <c r="AE150" s="1">
        <f t="shared" si="70"/>
        <v>0</v>
      </c>
      <c r="AF150" s="1">
        <f t="shared" si="71"/>
        <v>0</v>
      </c>
      <c r="AG150" s="1">
        <f t="shared" si="72"/>
        <v>0</v>
      </c>
      <c r="AH150" s="1">
        <f t="shared" si="73"/>
        <v>0</v>
      </c>
      <c r="AI150" s="1">
        <f t="shared" si="74"/>
        <v>0</v>
      </c>
      <c r="AJ150" s="1">
        <f t="shared" si="75"/>
        <v>0</v>
      </c>
      <c r="AK150" s="1">
        <f t="shared" si="76"/>
        <v>0</v>
      </c>
      <c r="AL150" s="1">
        <f t="shared" si="77"/>
        <v>0</v>
      </c>
      <c r="AM150" s="1">
        <f t="shared" si="78"/>
        <v>0</v>
      </c>
      <c r="AN150" s="1">
        <f t="shared" si="79"/>
        <v>0</v>
      </c>
      <c r="AO150" s="1">
        <f t="shared" si="80"/>
        <v>0</v>
      </c>
      <c r="AP150" s="1">
        <f t="shared" si="81"/>
        <v>0</v>
      </c>
      <c r="AQ150" s="1">
        <f t="shared" si="82"/>
        <v>0</v>
      </c>
      <c r="AR150" s="1">
        <f t="shared" si="83"/>
        <v>0</v>
      </c>
      <c r="AS150" s="1">
        <f t="shared" si="84"/>
        <v>0</v>
      </c>
      <c r="AT150" s="1">
        <f t="shared" si="85"/>
        <v>0</v>
      </c>
      <c r="AU150" s="1">
        <f t="shared" si="86"/>
        <v>0</v>
      </c>
      <c r="AV150" s="1">
        <f t="shared" si="87"/>
        <v>0</v>
      </c>
      <c r="AW150" s="1">
        <f t="shared" si="88"/>
        <v>0</v>
      </c>
      <c r="AX150" s="1">
        <f t="shared" si="89"/>
        <v>0</v>
      </c>
      <c r="AY150" s="1">
        <f t="shared" si="90"/>
        <v>0</v>
      </c>
      <c r="AZ150" s="1">
        <f t="shared" si="91"/>
        <v>0</v>
      </c>
      <c r="BA150" s="1">
        <f t="shared" si="92"/>
        <v>0</v>
      </c>
      <c r="BB150" s="1">
        <f t="shared" si="93"/>
        <v>0</v>
      </c>
      <c r="BC150" s="1">
        <f t="shared" si="94"/>
        <v>0</v>
      </c>
      <c r="BD150" s="1">
        <f t="shared" si="95"/>
        <v>0</v>
      </c>
      <c r="BE150" s="1">
        <f t="shared" si="96"/>
        <v>0</v>
      </c>
      <c r="BF150" s="1">
        <f t="shared" si="97"/>
        <v>0</v>
      </c>
      <c r="BG150" s="1">
        <f t="shared" si="98"/>
        <v>0</v>
      </c>
      <c r="BH150" s="1">
        <f t="shared" si="99"/>
        <v>0</v>
      </c>
      <c r="BI150" s="1">
        <f t="shared" si="100"/>
        <v>0</v>
      </c>
      <c r="BJ150" s="1">
        <f t="shared" si="101"/>
        <v>0</v>
      </c>
      <c r="BK150" s="1">
        <f t="shared" si="102"/>
        <v>0</v>
      </c>
      <c r="BL150" s="1">
        <f t="shared" si="103"/>
        <v>0</v>
      </c>
      <c r="BM150" s="1">
        <f t="shared" si="104"/>
        <v>0</v>
      </c>
      <c r="BN150" s="1">
        <f t="shared" si="105"/>
        <v>0</v>
      </c>
      <c r="BO150" s="1">
        <f t="shared" si="106"/>
        <v>0</v>
      </c>
      <c r="BP150" s="1">
        <f t="shared" si="107"/>
        <v>0</v>
      </c>
      <c r="BQ150" s="1">
        <f t="shared" si="108"/>
        <v>0</v>
      </c>
      <c r="BR150" s="1">
        <f t="shared" si="109"/>
        <v>0</v>
      </c>
      <c r="BS150" s="1">
        <f t="shared" si="110"/>
        <v>0</v>
      </c>
      <c r="BT150" s="1">
        <f t="shared" si="111"/>
        <v>0</v>
      </c>
      <c r="BU150" s="1">
        <f t="shared" ref="BU150:BU156" si="124">EU150-EU71*$C$2</f>
        <v>0</v>
      </c>
      <c r="BV150" s="1">
        <f t="shared" si="112"/>
        <v>0</v>
      </c>
      <c r="BW150" s="1">
        <f t="shared" si="113"/>
        <v>0</v>
      </c>
      <c r="BX150" s="1">
        <f t="shared" si="114"/>
        <v>0</v>
      </c>
      <c r="BY150" s="1">
        <f t="shared" si="115"/>
        <v>0</v>
      </c>
      <c r="BZ150" s="1">
        <f t="shared" si="116"/>
        <v>-29</v>
      </c>
      <c r="CA150" s="1">
        <f t="shared" si="117"/>
        <v>0</v>
      </c>
      <c r="CB150" s="1">
        <f t="shared" si="118"/>
        <v>0</v>
      </c>
      <c r="CC150" s="1">
        <f t="shared" si="119"/>
        <v>0</v>
      </c>
      <c r="CD150" s="1">
        <f t="shared" si="120"/>
        <v>0</v>
      </c>
      <c r="CE150" s="1"/>
      <c r="CH150" s="1" t="s">
        <v>83</v>
      </c>
      <c r="CI150" s="1">
        <v>0</v>
      </c>
      <c r="CJ150" s="1">
        <v>0</v>
      </c>
      <c r="CK150" s="1">
        <v>0</v>
      </c>
      <c r="CL150" s="1">
        <v>0</v>
      </c>
      <c r="CM150" s="1">
        <v>0</v>
      </c>
      <c r="CN150" s="1">
        <v>0</v>
      </c>
      <c r="CO150" s="1">
        <v>0</v>
      </c>
      <c r="CP150" s="1">
        <v>0</v>
      </c>
      <c r="CQ150" s="1">
        <v>0</v>
      </c>
      <c r="CR150" s="1">
        <v>0</v>
      </c>
      <c r="CS150" s="1">
        <v>0</v>
      </c>
      <c r="CT150" s="1">
        <v>0</v>
      </c>
      <c r="CU150" s="1">
        <v>0</v>
      </c>
      <c r="CV150" s="1">
        <v>0</v>
      </c>
      <c r="CW150" s="1">
        <v>0</v>
      </c>
      <c r="CX150" s="1">
        <v>0</v>
      </c>
      <c r="CY150" s="1">
        <v>0</v>
      </c>
      <c r="CZ150" s="1">
        <v>0</v>
      </c>
      <c r="DA150" s="1">
        <v>0</v>
      </c>
      <c r="DB150" s="1">
        <v>0</v>
      </c>
      <c r="DC150" s="1">
        <v>0</v>
      </c>
      <c r="DD150" s="1">
        <v>0</v>
      </c>
      <c r="DE150" s="1">
        <v>0</v>
      </c>
      <c r="DF150" s="1">
        <v>0</v>
      </c>
      <c r="DG150" s="1">
        <v>0</v>
      </c>
      <c r="DH150" s="1">
        <v>0</v>
      </c>
      <c r="DI150" s="1">
        <v>0</v>
      </c>
      <c r="DJ150" s="1">
        <v>0</v>
      </c>
      <c r="DK150" s="1">
        <v>0</v>
      </c>
      <c r="DL150" s="1">
        <v>0</v>
      </c>
      <c r="DM150" s="1">
        <v>0</v>
      </c>
      <c r="DN150" s="1">
        <v>0</v>
      </c>
      <c r="DO150" s="1">
        <v>0</v>
      </c>
      <c r="DP150" s="1">
        <v>0</v>
      </c>
      <c r="DQ150" s="1">
        <v>0</v>
      </c>
      <c r="DR150" s="1">
        <v>0</v>
      </c>
      <c r="DS150" s="1">
        <v>0</v>
      </c>
      <c r="DT150" s="1">
        <v>0</v>
      </c>
      <c r="DU150" s="1">
        <v>0</v>
      </c>
      <c r="DV150" s="1">
        <v>0</v>
      </c>
      <c r="DW150" s="1">
        <v>0</v>
      </c>
      <c r="DX150" s="1">
        <v>0</v>
      </c>
      <c r="DY150" s="1">
        <v>0</v>
      </c>
      <c r="DZ150" s="1">
        <v>0</v>
      </c>
      <c r="EA150" s="1">
        <v>0</v>
      </c>
      <c r="EB150" s="1">
        <v>0</v>
      </c>
      <c r="EC150" s="1">
        <v>0</v>
      </c>
      <c r="ED150" s="1">
        <v>0</v>
      </c>
      <c r="EE150" s="1">
        <v>0</v>
      </c>
      <c r="EF150" s="1">
        <v>0</v>
      </c>
      <c r="EG150" s="1">
        <v>0</v>
      </c>
      <c r="EH150" s="1">
        <v>0</v>
      </c>
      <c r="EI150" s="1">
        <v>0</v>
      </c>
      <c r="EJ150" s="1">
        <v>0</v>
      </c>
      <c r="EK150" s="1">
        <v>0</v>
      </c>
      <c r="EL150" s="1">
        <v>0</v>
      </c>
      <c r="EM150" s="1">
        <v>0</v>
      </c>
      <c r="EN150" s="1">
        <v>0</v>
      </c>
      <c r="EO150" s="1">
        <v>0</v>
      </c>
      <c r="EP150" s="1">
        <v>0</v>
      </c>
      <c r="EQ150" s="1">
        <v>0</v>
      </c>
      <c r="ER150" s="1">
        <v>0</v>
      </c>
      <c r="ES150" s="1">
        <v>0</v>
      </c>
      <c r="ET150" s="1">
        <v>0</v>
      </c>
      <c r="EU150" s="1">
        <v>0</v>
      </c>
      <c r="EV150" s="1">
        <v>0</v>
      </c>
      <c r="EW150" s="1">
        <v>0</v>
      </c>
      <c r="EX150" s="1">
        <v>0</v>
      </c>
      <c r="EY150" s="1">
        <v>0</v>
      </c>
      <c r="EZ150" s="1">
        <v>41</v>
      </c>
      <c r="FA150" s="1">
        <v>0</v>
      </c>
      <c r="FB150" s="1">
        <v>0</v>
      </c>
      <c r="FC150" s="1">
        <v>0</v>
      </c>
      <c r="FD150" s="1">
        <v>0</v>
      </c>
      <c r="FE150" s="1">
        <f t="shared" si="122"/>
        <v>41</v>
      </c>
      <c r="FF150" s="1">
        <f>EX157</f>
        <v>38</v>
      </c>
      <c r="FG150" s="1">
        <f t="shared" si="123"/>
        <v>0</v>
      </c>
    </row>
    <row r="151" spans="8:163" ht="15.75" thickBot="1" x14ac:dyDescent="0.3">
      <c r="H151" s="1" t="s">
        <v>84</v>
      </c>
      <c r="I151" s="1">
        <f t="shared" si="121"/>
        <v>0</v>
      </c>
      <c r="J151" s="1">
        <f t="shared" ref="J151:J156" si="125">CJ151-CJ72*$C$2</f>
        <v>0</v>
      </c>
      <c r="K151" s="1">
        <f t="shared" ref="K151:K156" si="126">CK151-CK72*$C$2</f>
        <v>0</v>
      </c>
      <c r="L151" s="1">
        <f t="shared" ref="L151:L156" si="127">CL151-CL72*$C$2</f>
        <v>0</v>
      </c>
      <c r="M151" s="1">
        <f t="shared" ref="M151:M156" si="128">CM151-CM72*$C$2</f>
        <v>0</v>
      </c>
      <c r="N151" s="1">
        <f t="shared" ref="N151:N156" si="129">CN151-CN72*$C$2</f>
        <v>0</v>
      </c>
      <c r="O151" s="1">
        <f t="shared" ref="O151:O156" si="130">CO151-CO72*$C$2</f>
        <v>0</v>
      </c>
      <c r="P151" s="1">
        <f t="shared" ref="P151:P156" si="131">CP151-CP72*$C$2</f>
        <v>0</v>
      </c>
      <c r="Q151" s="1">
        <f t="shared" ref="Q151:Q156" si="132">CQ151-CQ72*$C$2</f>
        <v>0</v>
      </c>
      <c r="R151" s="1">
        <f t="shared" ref="R151:R156" si="133">CR151-CR72*$C$2</f>
        <v>0</v>
      </c>
      <c r="S151" s="1">
        <f t="shared" ref="S151:S156" si="134">CS151-CS72*$C$2</f>
        <v>0</v>
      </c>
      <c r="T151" s="1">
        <f t="shared" ref="T151:T156" si="135">CT151-CT72*$C$2</f>
        <v>0</v>
      </c>
      <c r="U151" s="1">
        <f t="shared" ref="U151:U156" si="136">CU151-CU72*$C$2</f>
        <v>-9</v>
      </c>
      <c r="V151" s="1">
        <f t="shared" ref="V151:V156" si="137">CV151-CV72*$C$2</f>
        <v>0</v>
      </c>
      <c r="W151" s="1">
        <f t="shared" ref="W151:W156" si="138">CW151-CW72*$C$2</f>
        <v>0</v>
      </c>
      <c r="X151" s="1">
        <f t="shared" ref="X151:X156" si="139">CX151-CX72*$C$2</f>
        <v>0</v>
      </c>
      <c r="Y151" s="1">
        <f t="shared" ref="Y151:Y156" si="140">CY151-CY72*$C$2</f>
        <v>0</v>
      </c>
      <c r="Z151" s="1">
        <f t="shared" ref="Z151:Z156" si="141">CZ151-CZ72*$C$2</f>
        <v>0</v>
      </c>
      <c r="AA151" s="1">
        <f t="shared" ref="AA151:AA156" si="142">DA151-DA72*$C$2</f>
        <v>0</v>
      </c>
      <c r="AB151" s="1">
        <f t="shared" ref="AB151:AB156" si="143">DB151-DB72*$C$2</f>
        <v>0</v>
      </c>
      <c r="AC151" s="1">
        <f t="shared" ref="AC151:AC156" si="144">DC151-DC72*$C$2</f>
        <v>0</v>
      </c>
      <c r="AD151" s="1">
        <f t="shared" ref="AD151:AD156" si="145">DD151-DD72*$C$2</f>
        <v>0</v>
      </c>
      <c r="AE151" s="1">
        <f t="shared" ref="AE151:AE156" si="146">DE151-DE72*$C$2</f>
        <v>0</v>
      </c>
      <c r="AF151" s="1">
        <f t="shared" ref="AF151:AF156" si="147">DF151-DF72*$C$2</f>
        <v>0</v>
      </c>
      <c r="AG151" s="1">
        <f t="shared" ref="AG151:AG156" si="148">DG151-DG72*$C$2</f>
        <v>0</v>
      </c>
      <c r="AH151" s="1">
        <f t="shared" ref="AH151:AH156" si="149">DH151-DH72*$C$2</f>
        <v>0</v>
      </c>
      <c r="AI151" s="1">
        <f t="shared" ref="AI151:AI156" si="150">DI151-DI72*$C$2</f>
        <v>0</v>
      </c>
      <c r="AJ151" s="1">
        <f t="shared" ref="AJ151:AJ156" si="151">DJ151-DJ72*$C$2</f>
        <v>0</v>
      </c>
      <c r="AK151" s="1">
        <f t="shared" ref="AK151:AK156" si="152">DK151-DK72*$C$2</f>
        <v>0</v>
      </c>
      <c r="AL151" s="1">
        <f t="shared" ref="AL151:AL156" si="153">DL151-DL72*$C$2</f>
        <v>0</v>
      </c>
      <c r="AM151" s="1">
        <f t="shared" ref="AM151:AM156" si="154">DM151-DM72*$C$2</f>
        <v>0</v>
      </c>
      <c r="AN151" s="1">
        <f t="shared" ref="AN151:AN156" si="155">DN151-DN72*$C$2</f>
        <v>0</v>
      </c>
      <c r="AO151" s="1">
        <f t="shared" ref="AO151:AO156" si="156">DO151-DO72*$C$2</f>
        <v>0</v>
      </c>
      <c r="AP151" s="1">
        <f t="shared" ref="AP151:AP156" si="157">DP151-DP72*$C$2</f>
        <v>0</v>
      </c>
      <c r="AQ151" s="1">
        <f t="shared" ref="AQ151:AQ156" si="158">DQ151-DQ72*$C$2</f>
        <v>0</v>
      </c>
      <c r="AR151" s="1">
        <f t="shared" ref="AR151:AR156" si="159">DR151-DR72*$C$2</f>
        <v>0</v>
      </c>
      <c r="AS151" s="1">
        <f t="shared" ref="AS151:AS156" si="160">DS151-DS72*$C$2</f>
        <v>0</v>
      </c>
      <c r="AT151" s="1">
        <f t="shared" ref="AT151:AT156" si="161">DT151-DT72*$C$2</f>
        <v>0</v>
      </c>
      <c r="AU151" s="1">
        <f t="shared" ref="AU151:AU156" si="162">DU151-DU72*$C$2</f>
        <v>0</v>
      </c>
      <c r="AV151" s="1">
        <f t="shared" ref="AV151:AV156" si="163">DV151-DV72*$C$2</f>
        <v>0</v>
      </c>
      <c r="AW151" s="1">
        <f t="shared" ref="AW151:AW156" si="164">DW151-DW72*$C$2</f>
        <v>0</v>
      </c>
      <c r="AX151" s="1">
        <f t="shared" ref="AX151:AX156" si="165">DX151-DX72*$C$2</f>
        <v>0</v>
      </c>
      <c r="AY151" s="1">
        <f t="shared" ref="AY151:AY156" si="166">DY151-DY72*$C$2</f>
        <v>0</v>
      </c>
      <c r="AZ151" s="1">
        <f t="shared" ref="AZ151:AZ156" si="167">DZ151-DZ72*$C$2</f>
        <v>0</v>
      </c>
      <c r="BA151" s="1">
        <f t="shared" ref="BA151:BA156" si="168">EA151-EA72*$C$2</f>
        <v>0</v>
      </c>
      <c r="BB151" s="1">
        <f t="shared" ref="BB151:BB156" si="169">EB151-EB72*$C$2</f>
        <v>0</v>
      </c>
      <c r="BC151" s="1">
        <f t="shared" ref="BC151:BC156" si="170">EC151-EC72*$C$2</f>
        <v>0</v>
      </c>
      <c r="BD151" s="1">
        <f t="shared" ref="BD151:BD156" si="171">ED151-ED72*$C$2</f>
        <v>0</v>
      </c>
      <c r="BE151" s="1">
        <f t="shared" ref="BE151:BE156" si="172">EE151-EE72*$C$2</f>
        <v>0</v>
      </c>
      <c r="BF151" s="1">
        <f t="shared" ref="BF151:BF156" si="173">EF151-EF72*$C$2</f>
        <v>0</v>
      </c>
      <c r="BG151" s="1">
        <f t="shared" ref="BG151:BG156" si="174">EG151-EG72*$C$2</f>
        <v>0</v>
      </c>
      <c r="BH151" s="1">
        <f t="shared" ref="BH151:BH156" si="175">EH151-EH72*$C$2</f>
        <v>0</v>
      </c>
      <c r="BI151" s="1">
        <f t="shared" ref="BI151:BI156" si="176">EI151-EI72*$C$2</f>
        <v>0</v>
      </c>
      <c r="BJ151" s="1">
        <f t="shared" ref="BJ151:BJ156" si="177">EJ151-EJ72*$C$2</f>
        <v>0</v>
      </c>
      <c r="BK151" s="1">
        <f t="shared" ref="BK151:BK156" si="178">EK151-EK72*$C$2</f>
        <v>0</v>
      </c>
      <c r="BL151" s="1">
        <f t="shared" ref="BL151:BL156" si="179">EL151-EL72*$C$2</f>
        <v>0</v>
      </c>
      <c r="BM151" s="1">
        <f t="shared" ref="BM151:BM156" si="180">EM151-EM72*$C$2</f>
        <v>0</v>
      </c>
      <c r="BN151" s="1">
        <f t="shared" ref="BN151:BN156" si="181">EN151-EN72*$C$2</f>
        <v>0</v>
      </c>
      <c r="BO151" s="1">
        <f t="shared" ref="BO151:BO156" si="182">EO151-EO72*$C$2</f>
        <v>0</v>
      </c>
      <c r="BP151" s="1">
        <f t="shared" ref="BP151:BP156" si="183">EP151-EP72*$C$2</f>
        <v>0</v>
      </c>
      <c r="BQ151" s="1">
        <f t="shared" ref="BQ151:BQ156" si="184">EQ151-EQ72*$C$2</f>
        <v>0</v>
      </c>
      <c r="BR151" s="1">
        <f t="shared" ref="BR151:BR156" si="185">ER151-ER72*$C$2</f>
        <v>0</v>
      </c>
      <c r="BS151" s="1">
        <f t="shared" ref="BS151:BS156" si="186">ES151-ES72*$C$2</f>
        <v>0</v>
      </c>
      <c r="BT151" s="1">
        <f t="shared" ref="BT151:BT156" si="187">ET151-ET72*$C$2</f>
        <v>0</v>
      </c>
      <c r="BU151" s="1">
        <f t="shared" si="124"/>
        <v>0</v>
      </c>
      <c r="BV151" s="1">
        <f t="shared" si="112"/>
        <v>0</v>
      </c>
      <c r="BW151" s="1">
        <f t="shared" si="113"/>
        <v>0</v>
      </c>
      <c r="BX151" s="1">
        <f t="shared" si="114"/>
        <v>0</v>
      </c>
      <c r="BY151" s="1">
        <f t="shared" si="115"/>
        <v>0</v>
      </c>
      <c r="BZ151" s="1">
        <f t="shared" si="116"/>
        <v>0</v>
      </c>
      <c r="CA151" s="1">
        <f t="shared" si="117"/>
        <v>0</v>
      </c>
      <c r="CB151" s="1">
        <f t="shared" si="118"/>
        <v>0</v>
      </c>
      <c r="CC151" s="1">
        <f t="shared" si="119"/>
        <v>0</v>
      </c>
      <c r="CD151" s="1">
        <f t="shared" si="120"/>
        <v>0</v>
      </c>
      <c r="CE151" s="1"/>
      <c r="CH151" s="1" t="s">
        <v>84</v>
      </c>
      <c r="CI151" s="1">
        <v>0</v>
      </c>
      <c r="CJ151" s="1">
        <v>0</v>
      </c>
      <c r="CK151" s="1">
        <v>0</v>
      </c>
      <c r="CL151" s="1">
        <v>0</v>
      </c>
      <c r="CM151" s="1">
        <v>0</v>
      </c>
      <c r="CN151" s="1">
        <v>0</v>
      </c>
      <c r="CO151" s="1">
        <v>0</v>
      </c>
      <c r="CP151" s="1">
        <v>0</v>
      </c>
      <c r="CQ151" s="1">
        <v>0</v>
      </c>
      <c r="CR151" s="1">
        <v>0</v>
      </c>
      <c r="CS151" s="1">
        <v>0</v>
      </c>
      <c r="CT151" s="1">
        <v>0</v>
      </c>
      <c r="CU151" s="1">
        <v>61</v>
      </c>
      <c r="CV151" s="1">
        <v>0</v>
      </c>
      <c r="CW151" s="1">
        <v>0</v>
      </c>
      <c r="CX151" s="1">
        <v>0</v>
      </c>
      <c r="CY151" s="1">
        <v>0</v>
      </c>
      <c r="CZ151" s="1">
        <v>0</v>
      </c>
      <c r="DA151" s="1">
        <v>0</v>
      </c>
      <c r="DB151" s="1">
        <v>0</v>
      </c>
      <c r="DC151" s="1">
        <v>0</v>
      </c>
      <c r="DD151" s="1">
        <v>0</v>
      </c>
      <c r="DE151" s="1">
        <v>0</v>
      </c>
      <c r="DF151" s="1">
        <v>0</v>
      </c>
      <c r="DG151" s="1">
        <v>0</v>
      </c>
      <c r="DH151" s="1">
        <v>0</v>
      </c>
      <c r="DI151" s="1">
        <v>0</v>
      </c>
      <c r="DJ151" s="1">
        <v>0</v>
      </c>
      <c r="DK151" s="1">
        <v>0</v>
      </c>
      <c r="DL151" s="1">
        <v>0</v>
      </c>
      <c r="DM151" s="1">
        <v>0</v>
      </c>
      <c r="DN151" s="1">
        <v>0</v>
      </c>
      <c r="DO151" s="1">
        <v>0</v>
      </c>
      <c r="DP151" s="1">
        <v>0</v>
      </c>
      <c r="DQ151" s="1">
        <v>0</v>
      </c>
      <c r="DR151" s="1">
        <v>0</v>
      </c>
      <c r="DS151" s="1">
        <v>0</v>
      </c>
      <c r="DT151" s="1">
        <v>0</v>
      </c>
      <c r="DU151" s="1">
        <v>0</v>
      </c>
      <c r="DV151" s="1">
        <v>0</v>
      </c>
      <c r="DW151" s="1">
        <v>0</v>
      </c>
      <c r="DX151" s="1">
        <v>0</v>
      </c>
      <c r="DY151" s="1">
        <v>0</v>
      </c>
      <c r="DZ151" s="1">
        <v>0</v>
      </c>
      <c r="EA151" s="1">
        <v>0</v>
      </c>
      <c r="EB151" s="1">
        <v>0</v>
      </c>
      <c r="EC151" s="1">
        <v>0</v>
      </c>
      <c r="ED151" s="1">
        <v>0</v>
      </c>
      <c r="EE151" s="1">
        <v>0</v>
      </c>
      <c r="EF151" s="1">
        <v>0</v>
      </c>
      <c r="EG151" s="1">
        <v>0</v>
      </c>
      <c r="EH151" s="1">
        <v>0</v>
      </c>
      <c r="EI151" s="1">
        <v>0</v>
      </c>
      <c r="EJ151" s="1">
        <v>0</v>
      </c>
      <c r="EK151" s="1">
        <v>0</v>
      </c>
      <c r="EL151" s="1">
        <v>0</v>
      </c>
      <c r="EM151" s="1">
        <v>0</v>
      </c>
      <c r="EN151" s="1">
        <v>0</v>
      </c>
      <c r="EO151" s="1">
        <v>0</v>
      </c>
      <c r="EP151" s="1">
        <v>0</v>
      </c>
      <c r="EQ151" s="1">
        <v>0</v>
      </c>
      <c r="ER151" s="1">
        <v>0</v>
      </c>
      <c r="ES151" s="1">
        <v>0</v>
      </c>
      <c r="ET151" s="1">
        <v>0</v>
      </c>
      <c r="EU151" s="1">
        <v>0</v>
      </c>
      <c r="EV151" s="1">
        <v>0</v>
      </c>
      <c r="EW151" s="1">
        <v>0</v>
      </c>
      <c r="EX151" s="1">
        <v>0</v>
      </c>
      <c r="EY151" s="1">
        <v>0</v>
      </c>
      <c r="EZ151" s="1">
        <v>0</v>
      </c>
      <c r="FA151" s="1">
        <v>0</v>
      </c>
      <c r="FB151" s="1">
        <v>0</v>
      </c>
      <c r="FC151" s="1">
        <v>0</v>
      </c>
      <c r="FD151" s="1">
        <v>0</v>
      </c>
      <c r="FE151" s="1">
        <f t="shared" si="122"/>
        <v>61</v>
      </c>
      <c r="FF151" s="1">
        <f>EY157</f>
        <v>50</v>
      </c>
      <c r="FG151" s="1">
        <f t="shared" si="123"/>
        <v>0</v>
      </c>
    </row>
    <row r="152" spans="8:163" ht="15.75" thickBot="1" x14ac:dyDescent="0.3">
      <c r="H152" s="1" t="s">
        <v>85</v>
      </c>
      <c r="I152" s="1">
        <f t="shared" si="121"/>
        <v>0</v>
      </c>
      <c r="J152" s="1">
        <f t="shared" si="125"/>
        <v>0</v>
      </c>
      <c r="K152" s="1">
        <f t="shared" si="126"/>
        <v>0</v>
      </c>
      <c r="L152" s="1">
        <f t="shared" si="127"/>
        <v>0</v>
      </c>
      <c r="M152" s="1">
        <f t="shared" si="128"/>
        <v>0</v>
      </c>
      <c r="N152" s="1">
        <f t="shared" si="129"/>
        <v>0</v>
      </c>
      <c r="O152" s="1">
        <f t="shared" si="130"/>
        <v>0</v>
      </c>
      <c r="P152" s="1">
        <f t="shared" si="131"/>
        <v>0</v>
      </c>
      <c r="Q152" s="1">
        <f t="shared" si="132"/>
        <v>0</v>
      </c>
      <c r="R152" s="1">
        <f t="shared" si="133"/>
        <v>0</v>
      </c>
      <c r="S152" s="1">
        <f t="shared" si="134"/>
        <v>0</v>
      </c>
      <c r="T152" s="1">
        <f t="shared" si="135"/>
        <v>0</v>
      </c>
      <c r="U152" s="1">
        <f t="shared" si="136"/>
        <v>0</v>
      </c>
      <c r="V152" s="1">
        <f t="shared" si="137"/>
        <v>0</v>
      </c>
      <c r="W152" s="1">
        <f t="shared" si="138"/>
        <v>0</v>
      </c>
      <c r="X152" s="1">
        <f t="shared" si="139"/>
        <v>0</v>
      </c>
      <c r="Y152" s="1">
        <f t="shared" si="140"/>
        <v>0</v>
      </c>
      <c r="Z152" s="1">
        <f t="shared" si="141"/>
        <v>0</v>
      </c>
      <c r="AA152" s="1">
        <f t="shared" si="142"/>
        <v>0</v>
      </c>
      <c r="AB152" s="1">
        <f t="shared" si="143"/>
        <v>0</v>
      </c>
      <c r="AC152" s="1">
        <f t="shared" si="144"/>
        <v>0</v>
      </c>
      <c r="AD152" s="1">
        <f t="shared" si="145"/>
        <v>0</v>
      </c>
      <c r="AE152" s="1">
        <f t="shared" si="146"/>
        <v>0</v>
      </c>
      <c r="AF152" s="1">
        <f t="shared" si="147"/>
        <v>0</v>
      </c>
      <c r="AG152" s="1">
        <f t="shared" si="148"/>
        <v>0</v>
      </c>
      <c r="AH152" s="1">
        <f t="shared" si="149"/>
        <v>0</v>
      </c>
      <c r="AI152" s="1">
        <f t="shared" si="150"/>
        <v>0</v>
      </c>
      <c r="AJ152" s="1">
        <f t="shared" si="151"/>
        <v>0</v>
      </c>
      <c r="AK152" s="1">
        <f t="shared" si="152"/>
        <v>0</v>
      </c>
      <c r="AL152" s="1">
        <f t="shared" si="153"/>
        <v>0</v>
      </c>
      <c r="AM152" s="1">
        <f t="shared" si="154"/>
        <v>0</v>
      </c>
      <c r="AN152" s="1">
        <f t="shared" si="155"/>
        <v>0</v>
      </c>
      <c r="AO152" s="1">
        <f t="shared" si="156"/>
        <v>0</v>
      </c>
      <c r="AP152" s="1">
        <f t="shared" si="157"/>
        <v>0</v>
      </c>
      <c r="AQ152" s="1">
        <f t="shared" si="158"/>
        <v>0</v>
      </c>
      <c r="AR152" s="1">
        <f t="shared" si="159"/>
        <v>0</v>
      </c>
      <c r="AS152" s="1">
        <f t="shared" si="160"/>
        <v>0</v>
      </c>
      <c r="AT152" s="1">
        <f t="shared" si="161"/>
        <v>0</v>
      </c>
      <c r="AU152" s="1">
        <f t="shared" si="162"/>
        <v>0</v>
      </c>
      <c r="AV152" s="1">
        <f t="shared" si="163"/>
        <v>0</v>
      </c>
      <c r="AW152" s="1">
        <f t="shared" si="164"/>
        <v>0</v>
      </c>
      <c r="AX152" s="1">
        <f t="shared" si="165"/>
        <v>0</v>
      </c>
      <c r="AY152" s="1">
        <f t="shared" si="166"/>
        <v>0</v>
      </c>
      <c r="AZ152" s="1">
        <f t="shared" si="167"/>
        <v>0</v>
      </c>
      <c r="BA152" s="1">
        <f t="shared" si="168"/>
        <v>0</v>
      </c>
      <c r="BB152" s="1">
        <f t="shared" si="169"/>
        <v>0</v>
      </c>
      <c r="BC152" s="1">
        <f t="shared" si="170"/>
        <v>0</v>
      </c>
      <c r="BD152" s="1">
        <f t="shared" si="171"/>
        <v>0</v>
      </c>
      <c r="BE152" s="1">
        <f t="shared" si="172"/>
        <v>0</v>
      </c>
      <c r="BF152" s="1">
        <f t="shared" si="173"/>
        <v>0</v>
      </c>
      <c r="BG152" s="1">
        <f t="shared" si="174"/>
        <v>0</v>
      </c>
      <c r="BH152" s="1">
        <f t="shared" si="175"/>
        <v>0</v>
      </c>
      <c r="BI152" s="1">
        <f t="shared" si="176"/>
        <v>0</v>
      </c>
      <c r="BJ152" s="1">
        <f t="shared" si="177"/>
        <v>0</v>
      </c>
      <c r="BK152" s="1">
        <f t="shared" si="178"/>
        <v>0</v>
      </c>
      <c r="BL152" s="1">
        <f t="shared" si="179"/>
        <v>0</v>
      </c>
      <c r="BM152" s="1">
        <f t="shared" si="180"/>
        <v>0</v>
      </c>
      <c r="BN152" s="1">
        <f t="shared" si="181"/>
        <v>0</v>
      </c>
      <c r="BO152" s="1">
        <f t="shared" si="182"/>
        <v>0</v>
      </c>
      <c r="BP152" s="1">
        <f t="shared" si="183"/>
        <v>0</v>
      </c>
      <c r="BQ152" s="1">
        <f t="shared" si="184"/>
        <v>0</v>
      </c>
      <c r="BR152" s="1">
        <f t="shared" si="185"/>
        <v>0</v>
      </c>
      <c r="BS152" s="1">
        <f t="shared" si="186"/>
        <v>0</v>
      </c>
      <c r="BT152" s="1">
        <f t="shared" si="187"/>
        <v>0</v>
      </c>
      <c r="BU152" s="1">
        <f t="shared" si="124"/>
        <v>0</v>
      </c>
      <c r="BV152" s="1">
        <f t="shared" si="112"/>
        <v>0</v>
      </c>
      <c r="BW152" s="1">
        <f t="shared" si="113"/>
        <v>0</v>
      </c>
      <c r="BX152" s="1">
        <f t="shared" si="114"/>
        <v>0</v>
      </c>
      <c r="BY152" s="1">
        <f t="shared" si="115"/>
        <v>-20</v>
      </c>
      <c r="BZ152" s="1">
        <f t="shared" si="116"/>
        <v>0</v>
      </c>
      <c r="CA152" s="1">
        <f t="shared" si="117"/>
        <v>0</v>
      </c>
      <c r="CB152" s="1">
        <f t="shared" si="118"/>
        <v>0</v>
      </c>
      <c r="CC152" s="1">
        <f t="shared" si="119"/>
        <v>0</v>
      </c>
      <c r="CD152" s="1">
        <f t="shared" si="120"/>
        <v>0</v>
      </c>
      <c r="CE152" s="1"/>
      <c r="CH152" s="1" t="s">
        <v>85</v>
      </c>
      <c r="CI152" s="1">
        <v>0</v>
      </c>
      <c r="CJ152" s="1">
        <v>0</v>
      </c>
      <c r="CK152" s="1">
        <v>0</v>
      </c>
      <c r="CL152" s="1">
        <v>0</v>
      </c>
      <c r="CM152" s="1">
        <v>0</v>
      </c>
      <c r="CN152" s="1">
        <v>0</v>
      </c>
      <c r="CO152" s="1">
        <v>0</v>
      </c>
      <c r="CP152" s="1">
        <v>0</v>
      </c>
      <c r="CQ152" s="1">
        <v>0</v>
      </c>
      <c r="CR152" s="1">
        <v>0</v>
      </c>
      <c r="CS152" s="1">
        <v>0</v>
      </c>
      <c r="CT152" s="1">
        <v>0</v>
      </c>
      <c r="CU152" s="1">
        <v>0</v>
      </c>
      <c r="CV152" s="1">
        <v>0</v>
      </c>
      <c r="CW152" s="1">
        <v>0</v>
      </c>
      <c r="CX152" s="1">
        <v>0</v>
      </c>
      <c r="CY152" s="1">
        <v>0</v>
      </c>
      <c r="CZ152" s="1">
        <v>0</v>
      </c>
      <c r="DA152" s="1">
        <v>0</v>
      </c>
      <c r="DB152" s="1">
        <v>0</v>
      </c>
      <c r="DC152" s="1">
        <v>0</v>
      </c>
      <c r="DD152" s="1">
        <v>0</v>
      </c>
      <c r="DE152" s="1">
        <v>0</v>
      </c>
      <c r="DF152" s="1">
        <v>0</v>
      </c>
      <c r="DG152" s="1">
        <v>0</v>
      </c>
      <c r="DH152" s="1">
        <v>0</v>
      </c>
      <c r="DI152" s="1">
        <v>0</v>
      </c>
      <c r="DJ152" s="1">
        <v>0</v>
      </c>
      <c r="DK152" s="1">
        <v>0</v>
      </c>
      <c r="DL152" s="1">
        <v>0</v>
      </c>
      <c r="DM152" s="1">
        <v>0</v>
      </c>
      <c r="DN152" s="1">
        <v>0</v>
      </c>
      <c r="DO152" s="1">
        <v>0</v>
      </c>
      <c r="DP152" s="1">
        <v>0</v>
      </c>
      <c r="DQ152" s="1">
        <v>0</v>
      </c>
      <c r="DR152" s="1">
        <v>0</v>
      </c>
      <c r="DS152" s="1">
        <v>0</v>
      </c>
      <c r="DT152" s="1">
        <v>0</v>
      </c>
      <c r="DU152" s="1">
        <v>0</v>
      </c>
      <c r="DV152" s="1">
        <v>0</v>
      </c>
      <c r="DW152" s="1">
        <v>0</v>
      </c>
      <c r="DX152" s="1">
        <v>0</v>
      </c>
      <c r="DY152" s="1">
        <v>0</v>
      </c>
      <c r="DZ152" s="1">
        <v>0</v>
      </c>
      <c r="EA152" s="1">
        <v>0</v>
      </c>
      <c r="EB152" s="1">
        <v>0</v>
      </c>
      <c r="EC152" s="1">
        <v>0</v>
      </c>
      <c r="ED152" s="1">
        <v>0</v>
      </c>
      <c r="EE152" s="1">
        <v>0</v>
      </c>
      <c r="EF152" s="1">
        <v>0</v>
      </c>
      <c r="EG152" s="1">
        <v>0</v>
      </c>
      <c r="EH152" s="1">
        <v>0</v>
      </c>
      <c r="EI152" s="1">
        <v>0</v>
      </c>
      <c r="EJ152" s="1">
        <v>0</v>
      </c>
      <c r="EK152" s="1">
        <v>0</v>
      </c>
      <c r="EL152" s="1">
        <v>0</v>
      </c>
      <c r="EM152" s="1">
        <v>0</v>
      </c>
      <c r="EN152" s="1">
        <v>0</v>
      </c>
      <c r="EO152" s="1">
        <v>0</v>
      </c>
      <c r="EP152" s="1">
        <v>0</v>
      </c>
      <c r="EQ152" s="1">
        <v>0</v>
      </c>
      <c r="ER152" s="1">
        <v>0</v>
      </c>
      <c r="ES152" s="1">
        <v>0</v>
      </c>
      <c r="ET152" s="1">
        <v>0</v>
      </c>
      <c r="EU152" s="1">
        <v>0</v>
      </c>
      <c r="EV152" s="1">
        <v>0</v>
      </c>
      <c r="EW152" s="1">
        <v>0</v>
      </c>
      <c r="EX152" s="1">
        <v>0</v>
      </c>
      <c r="EY152" s="1">
        <v>50</v>
      </c>
      <c r="EZ152" s="1">
        <v>0</v>
      </c>
      <c r="FA152" s="1">
        <v>0</v>
      </c>
      <c r="FB152" s="1">
        <v>0</v>
      </c>
      <c r="FC152" s="1">
        <v>0</v>
      </c>
      <c r="FD152" s="1">
        <v>0</v>
      </c>
      <c r="FE152" s="1">
        <f t="shared" si="122"/>
        <v>50</v>
      </c>
      <c r="FF152" s="1">
        <f>EZ157</f>
        <v>41</v>
      </c>
      <c r="FG152" s="1">
        <f t="shared" si="123"/>
        <v>0</v>
      </c>
    </row>
    <row r="153" spans="8:163" ht="15.75" thickBot="1" x14ac:dyDescent="0.3">
      <c r="H153" s="1" t="s">
        <v>86</v>
      </c>
      <c r="I153" s="1">
        <f t="shared" si="121"/>
        <v>0</v>
      </c>
      <c r="J153" s="1">
        <f t="shared" si="125"/>
        <v>0</v>
      </c>
      <c r="K153" s="1">
        <f t="shared" si="126"/>
        <v>0</v>
      </c>
      <c r="L153" s="1">
        <f t="shared" si="127"/>
        <v>0</v>
      </c>
      <c r="M153" s="1">
        <f t="shared" si="128"/>
        <v>0</v>
      </c>
      <c r="N153" s="1">
        <f t="shared" si="129"/>
        <v>0</v>
      </c>
      <c r="O153" s="1">
        <f t="shared" si="130"/>
        <v>0</v>
      </c>
      <c r="P153" s="1">
        <f t="shared" si="131"/>
        <v>0</v>
      </c>
      <c r="Q153" s="1">
        <f t="shared" si="132"/>
        <v>0</v>
      </c>
      <c r="R153" s="1">
        <f t="shared" si="133"/>
        <v>0</v>
      </c>
      <c r="S153" s="1">
        <f t="shared" si="134"/>
        <v>0</v>
      </c>
      <c r="T153" s="1">
        <f t="shared" si="135"/>
        <v>0</v>
      </c>
      <c r="U153" s="1">
        <f t="shared" si="136"/>
        <v>0</v>
      </c>
      <c r="V153" s="1">
        <f t="shared" si="137"/>
        <v>0</v>
      </c>
      <c r="W153" s="1">
        <f t="shared" si="138"/>
        <v>0</v>
      </c>
      <c r="X153" s="1">
        <f t="shared" si="139"/>
        <v>0</v>
      </c>
      <c r="Y153" s="1">
        <f t="shared" si="140"/>
        <v>0</v>
      </c>
      <c r="Z153" s="1">
        <f t="shared" si="141"/>
        <v>0</v>
      </c>
      <c r="AA153" s="1">
        <f t="shared" si="142"/>
        <v>0</v>
      </c>
      <c r="AB153" s="1">
        <f t="shared" si="143"/>
        <v>-11</v>
      </c>
      <c r="AC153" s="1">
        <f t="shared" si="144"/>
        <v>0</v>
      </c>
      <c r="AD153" s="1">
        <f t="shared" si="145"/>
        <v>0</v>
      </c>
      <c r="AE153" s="1">
        <f t="shared" si="146"/>
        <v>0</v>
      </c>
      <c r="AF153" s="1">
        <f t="shared" si="147"/>
        <v>0</v>
      </c>
      <c r="AG153" s="1">
        <f t="shared" si="148"/>
        <v>0</v>
      </c>
      <c r="AH153" s="1">
        <f t="shared" si="149"/>
        <v>0</v>
      </c>
      <c r="AI153" s="1">
        <f t="shared" si="150"/>
        <v>0</v>
      </c>
      <c r="AJ153" s="1">
        <f t="shared" si="151"/>
        <v>0</v>
      </c>
      <c r="AK153" s="1">
        <f t="shared" si="152"/>
        <v>0</v>
      </c>
      <c r="AL153" s="1">
        <f t="shared" si="153"/>
        <v>0</v>
      </c>
      <c r="AM153" s="1">
        <f t="shared" si="154"/>
        <v>0</v>
      </c>
      <c r="AN153" s="1">
        <f t="shared" si="155"/>
        <v>0</v>
      </c>
      <c r="AO153" s="1">
        <f t="shared" si="156"/>
        <v>0</v>
      </c>
      <c r="AP153" s="1">
        <f t="shared" si="157"/>
        <v>0</v>
      </c>
      <c r="AQ153" s="1">
        <f t="shared" si="158"/>
        <v>0</v>
      </c>
      <c r="AR153" s="1">
        <f t="shared" si="159"/>
        <v>0</v>
      </c>
      <c r="AS153" s="1">
        <f t="shared" si="160"/>
        <v>0</v>
      </c>
      <c r="AT153" s="1">
        <f t="shared" si="161"/>
        <v>0</v>
      </c>
      <c r="AU153" s="1">
        <f t="shared" si="162"/>
        <v>0</v>
      </c>
      <c r="AV153" s="1">
        <f t="shared" si="163"/>
        <v>0</v>
      </c>
      <c r="AW153" s="1">
        <f t="shared" si="164"/>
        <v>0</v>
      </c>
      <c r="AX153" s="1">
        <f t="shared" si="165"/>
        <v>0</v>
      </c>
      <c r="AY153" s="1">
        <f t="shared" si="166"/>
        <v>0</v>
      </c>
      <c r="AZ153" s="1">
        <f t="shared" si="167"/>
        <v>0</v>
      </c>
      <c r="BA153" s="1">
        <f t="shared" si="168"/>
        <v>0</v>
      </c>
      <c r="BB153" s="1">
        <f t="shared" si="169"/>
        <v>0</v>
      </c>
      <c r="BC153" s="1">
        <f t="shared" si="170"/>
        <v>0</v>
      </c>
      <c r="BD153" s="1">
        <f t="shared" si="171"/>
        <v>0</v>
      </c>
      <c r="BE153" s="1">
        <f t="shared" si="172"/>
        <v>0</v>
      </c>
      <c r="BF153" s="1">
        <f t="shared" si="173"/>
        <v>0</v>
      </c>
      <c r="BG153" s="1">
        <f t="shared" si="174"/>
        <v>0</v>
      </c>
      <c r="BH153" s="1">
        <f t="shared" si="175"/>
        <v>0</v>
      </c>
      <c r="BI153" s="1">
        <f t="shared" si="176"/>
        <v>0</v>
      </c>
      <c r="BJ153" s="1">
        <f t="shared" si="177"/>
        <v>0</v>
      </c>
      <c r="BK153" s="1">
        <f t="shared" si="178"/>
        <v>0</v>
      </c>
      <c r="BL153" s="1">
        <f t="shared" si="179"/>
        <v>0</v>
      </c>
      <c r="BM153" s="1">
        <f t="shared" si="180"/>
        <v>0</v>
      </c>
      <c r="BN153" s="1">
        <f t="shared" si="181"/>
        <v>0</v>
      </c>
      <c r="BO153" s="1">
        <f t="shared" si="182"/>
        <v>0</v>
      </c>
      <c r="BP153" s="1">
        <f t="shared" si="183"/>
        <v>0</v>
      </c>
      <c r="BQ153" s="1">
        <f t="shared" si="184"/>
        <v>0</v>
      </c>
      <c r="BR153" s="1">
        <f t="shared" si="185"/>
        <v>0</v>
      </c>
      <c r="BS153" s="1">
        <f t="shared" si="186"/>
        <v>0</v>
      </c>
      <c r="BT153" s="1">
        <f t="shared" si="187"/>
        <v>0</v>
      </c>
      <c r="BU153" s="1">
        <f t="shared" si="124"/>
        <v>0</v>
      </c>
      <c r="BV153" s="1">
        <f t="shared" si="112"/>
        <v>0</v>
      </c>
      <c r="BW153" s="1">
        <f t="shared" si="113"/>
        <v>0</v>
      </c>
      <c r="BX153" s="1">
        <f t="shared" si="114"/>
        <v>0</v>
      </c>
      <c r="BY153" s="1">
        <f t="shared" si="115"/>
        <v>0</v>
      </c>
      <c r="BZ153" s="1">
        <f t="shared" si="116"/>
        <v>0</v>
      </c>
      <c r="CA153" s="1">
        <f t="shared" si="117"/>
        <v>0</v>
      </c>
      <c r="CB153" s="1">
        <f t="shared" si="118"/>
        <v>0</v>
      </c>
      <c r="CC153" s="1">
        <f t="shared" si="119"/>
        <v>0</v>
      </c>
      <c r="CD153" s="1">
        <f t="shared" si="120"/>
        <v>0</v>
      </c>
      <c r="CE153" s="1"/>
      <c r="CH153" s="1" t="s">
        <v>86</v>
      </c>
      <c r="CI153" s="1">
        <v>0</v>
      </c>
      <c r="CJ153" s="1">
        <v>0</v>
      </c>
      <c r="CK153" s="1">
        <v>0</v>
      </c>
      <c r="CL153" s="1">
        <v>0</v>
      </c>
      <c r="CM153" s="1">
        <v>0</v>
      </c>
      <c r="CN153" s="1">
        <v>0</v>
      </c>
      <c r="CO153" s="1">
        <v>0</v>
      </c>
      <c r="CP153" s="1">
        <v>0</v>
      </c>
      <c r="CQ153" s="1">
        <v>0</v>
      </c>
      <c r="CR153" s="1">
        <v>0</v>
      </c>
      <c r="CS153" s="1">
        <v>0</v>
      </c>
      <c r="CT153" s="1">
        <v>0</v>
      </c>
      <c r="CU153" s="1">
        <v>0</v>
      </c>
      <c r="CV153" s="1">
        <v>0</v>
      </c>
      <c r="CW153" s="1">
        <v>0</v>
      </c>
      <c r="CX153" s="1">
        <v>0</v>
      </c>
      <c r="CY153" s="1">
        <v>0</v>
      </c>
      <c r="CZ153" s="1">
        <v>0</v>
      </c>
      <c r="DA153" s="1">
        <v>0</v>
      </c>
      <c r="DB153" s="1">
        <v>59</v>
      </c>
      <c r="DC153" s="1">
        <v>0</v>
      </c>
      <c r="DD153" s="1">
        <v>0</v>
      </c>
      <c r="DE153" s="1">
        <v>0</v>
      </c>
      <c r="DF153" s="1">
        <v>0</v>
      </c>
      <c r="DG153" s="1">
        <v>0</v>
      </c>
      <c r="DH153" s="1">
        <v>0</v>
      </c>
      <c r="DI153" s="1">
        <v>0</v>
      </c>
      <c r="DJ153" s="1">
        <v>0</v>
      </c>
      <c r="DK153" s="1">
        <v>0</v>
      </c>
      <c r="DL153" s="1">
        <v>0</v>
      </c>
      <c r="DM153" s="1">
        <v>0</v>
      </c>
      <c r="DN153" s="1">
        <v>0</v>
      </c>
      <c r="DO153" s="1">
        <v>0</v>
      </c>
      <c r="DP153" s="1">
        <v>0</v>
      </c>
      <c r="DQ153" s="1">
        <v>0</v>
      </c>
      <c r="DR153" s="1">
        <v>0</v>
      </c>
      <c r="DS153" s="1">
        <v>0</v>
      </c>
      <c r="DT153" s="1">
        <v>0</v>
      </c>
      <c r="DU153" s="1">
        <v>0</v>
      </c>
      <c r="DV153" s="1">
        <v>0</v>
      </c>
      <c r="DW153" s="1">
        <v>0</v>
      </c>
      <c r="DX153" s="1">
        <v>0</v>
      </c>
      <c r="DY153" s="1">
        <v>0</v>
      </c>
      <c r="DZ153" s="1">
        <v>0</v>
      </c>
      <c r="EA153" s="1">
        <v>0</v>
      </c>
      <c r="EB153" s="1">
        <v>0</v>
      </c>
      <c r="EC153" s="1">
        <v>0</v>
      </c>
      <c r="ED153" s="1">
        <v>0</v>
      </c>
      <c r="EE153" s="1">
        <v>0</v>
      </c>
      <c r="EF153" s="1">
        <v>0</v>
      </c>
      <c r="EG153" s="1">
        <v>0</v>
      </c>
      <c r="EH153" s="1">
        <v>0</v>
      </c>
      <c r="EI153" s="1">
        <v>0</v>
      </c>
      <c r="EJ153" s="1">
        <v>0</v>
      </c>
      <c r="EK153" s="1">
        <v>0</v>
      </c>
      <c r="EL153" s="1">
        <v>0</v>
      </c>
      <c r="EM153" s="1">
        <v>0</v>
      </c>
      <c r="EN153" s="1">
        <v>0</v>
      </c>
      <c r="EO153" s="1">
        <v>0</v>
      </c>
      <c r="EP153" s="1">
        <v>0</v>
      </c>
      <c r="EQ153" s="1">
        <v>0</v>
      </c>
      <c r="ER153" s="1">
        <v>0</v>
      </c>
      <c r="ES153" s="1">
        <v>0</v>
      </c>
      <c r="ET153" s="1">
        <v>0</v>
      </c>
      <c r="EU153" s="1">
        <v>0</v>
      </c>
      <c r="EV153" s="1">
        <v>0</v>
      </c>
      <c r="EW153" s="1">
        <v>0</v>
      </c>
      <c r="EX153" s="1">
        <v>0</v>
      </c>
      <c r="EY153" s="1">
        <v>0</v>
      </c>
      <c r="EZ153" s="1">
        <v>0</v>
      </c>
      <c r="FA153" s="1">
        <v>0</v>
      </c>
      <c r="FB153" s="1">
        <v>0</v>
      </c>
      <c r="FC153" s="1">
        <v>0</v>
      </c>
      <c r="FD153" s="1">
        <v>0</v>
      </c>
      <c r="FE153" s="1">
        <f t="shared" si="122"/>
        <v>59</v>
      </c>
      <c r="FF153" s="1">
        <f>FA157</f>
        <v>50</v>
      </c>
      <c r="FG153" s="1">
        <f t="shared" si="123"/>
        <v>0</v>
      </c>
    </row>
    <row r="154" spans="8:163" ht="15.75" thickBot="1" x14ac:dyDescent="0.3">
      <c r="H154" s="1" t="s">
        <v>87</v>
      </c>
      <c r="I154" s="1">
        <f t="shared" si="121"/>
        <v>0</v>
      </c>
      <c r="J154" s="1">
        <f t="shared" si="125"/>
        <v>0</v>
      </c>
      <c r="K154" s="1">
        <f t="shared" si="126"/>
        <v>0</v>
      </c>
      <c r="L154" s="1">
        <f t="shared" si="127"/>
        <v>0</v>
      </c>
      <c r="M154" s="1">
        <f t="shared" si="128"/>
        <v>0</v>
      </c>
      <c r="N154" s="1">
        <f t="shared" si="129"/>
        <v>0</v>
      </c>
      <c r="O154" s="1">
        <f t="shared" si="130"/>
        <v>0</v>
      </c>
      <c r="P154" s="1">
        <f t="shared" si="131"/>
        <v>0</v>
      </c>
      <c r="Q154" s="1">
        <f t="shared" si="132"/>
        <v>0</v>
      </c>
      <c r="R154" s="1">
        <f t="shared" si="133"/>
        <v>0</v>
      </c>
      <c r="S154" s="1">
        <f t="shared" si="134"/>
        <v>0</v>
      </c>
      <c r="T154" s="1">
        <f t="shared" si="135"/>
        <v>0</v>
      </c>
      <c r="U154" s="1">
        <f t="shared" si="136"/>
        <v>0</v>
      </c>
      <c r="V154" s="1">
        <f t="shared" si="137"/>
        <v>0</v>
      </c>
      <c r="W154" s="1">
        <f t="shared" si="138"/>
        <v>0</v>
      </c>
      <c r="X154" s="1">
        <f t="shared" si="139"/>
        <v>0</v>
      </c>
      <c r="Y154" s="1">
        <f t="shared" si="140"/>
        <v>0</v>
      </c>
      <c r="Z154" s="1">
        <f t="shared" si="141"/>
        <v>0</v>
      </c>
      <c r="AA154" s="1">
        <f t="shared" si="142"/>
        <v>0</v>
      </c>
      <c r="AB154" s="1">
        <f t="shared" si="143"/>
        <v>0</v>
      </c>
      <c r="AC154" s="1">
        <f t="shared" si="144"/>
        <v>0</v>
      </c>
      <c r="AD154" s="1">
        <f t="shared" si="145"/>
        <v>0</v>
      </c>
      <c r="AE154" s="1">
        <f t="shared" si="146"/>
        <v>0</v>
      </c>
      <c r="AF154" s="1">
        <f t="shared" si="147"/>
        <v>0</v>
      </c>
      <c r="AG154" s="1">
        <f t="shared" si="148"/>
        <v>0</v>
      </c>
      <c r="AH154" s="1">
        <f t="shared" si="149"/>
        <v>0</v>
      </c>
      <c r="AI154" s="1">
        <f t="shared" si="150"/>
        <v>0</v>
      </c>
      <c r="AJ154" s="1">
        <f t="shared" si="151"/>
        <v>0</v>
      </c>
      <c r="AK154" s="1">
        <f t="shared" si="152"/>
        <v>0</v>
      </c>
      <c r="AL154" s="1">
        <f t="shared" si="153"/>
        <v>0</v>
      </c>
      <c r="AM154" s="1">
        <f t="shared" si="154"/>
        <v>0</v>
      </c>
      <c r="AN154" s="1">
        <f t="shared" si="155"/>
        <v>0</v>
      </c>
      <c r="AO154" s="1">
        <f t="shared" si="156"/>
        <v>0</v>
      </c>
      <c r="AP154" s="1">
        <f t="shared" si="157"/>
        <v>0</v>
      </c>
      <c r="AQ154" s="1">
        <f t="shared" si="158"/>
        <v>0</v>
      </c>
      <c r="AR154" s="1">
        <f t="shared" si="159"/>
        <v>0</v>
      </c>
      <c r="AS154" s="1">
        <f t="shared" si="160"/>
        <v>0</v>
      </c>
      <c r="AT154" s="1">
        <f t="shared" si="161"/>
        <v>0</v>
      </c>
      <c r="AU154" s="1">
        <f t="shared" si="162"/>
        <v>0</v>
      </c>
      <c r="AV154" s="1">
        <f t="shared" si="163"/>
        <v>0</v>
      </c>
      <c r="AW154" s="1">
        <f t="shared" si="164"/>
        <v>0</v>
      </c>
      <c r="AX154" s="1">
        <f t="shared" si="165"/>
        <v>0</v>
      </c>
      <c r="AY154" s="1">
        <f t="shared" si="166"/>
        <v>0</v>
      </c>
      <c r="AZ154" s="1">
        <f t="shared" si="167"/>
        <v>0</v>
      </c>
      <c r="BA154" s="1">
        <f t="shared" si="168"/>
        <v>0</v>
      </c>
      <c r="BB154" s="1">
        <f t="shared" si="169"/>
        <v>0</v>
      </c>
      <c r="BC154" s="1">
        <f t="shared" si="170"/>
        <v>0</v>
      </c>
      <c r="BD154" s="1">
        <f t="shared" si="171"/>
        <v>0</v>
      </c>
      <c r="BE154" s="1">
        <f t="shared" si="172"/>
        <v>0</v>
      </c>
      <c r="BF154" s="1">
        <f t="shared" si="173"/>
        <v>0</v>
      </c>
      <c r="BG154" s="1">
        <f t="shared" si="174"/>
        <v>0</v>
      </c>
      <c r="BH154" s="1">
        <f t="shared" si="175"/>
        <v>0</v>
      </c>
      <c r="BI154" s="1">
        <f t="shared" si="176"/>
        <v>0</v>
      </c>
      <c r="BJ154" s="1">
        <f t="shared" si="177"/>
        <v>0</v>
      </c>
      <c r="BK154" s="1">
        <f t="shared" si="178"/>
        <v>0</v>
      </c>
      <c r="BL154" s="1">
        <f t="shared" si="179"/>
        <v>0</v>
      </c>
      <c r="BM154" s="1">
        <f t="shared" si="180"/>
        <v>0</v>
      </c>
      <c r="BN154" s="1">
        <f t="shared" si="181"/>
        <v>0</v>
      </c>
      <c r="BO154" s="1">
        <f t="shared" si="182"/>
        <v>0</v>
      </c>
      <c r="BP154" s="1">
        <f t="shared" si="183"/>
        <v>0</v>
      </c>
      <c r="BQ154" s="1">
        <f t="shared" si="184"/>
        <v>0</v>
      </c>
      <c r="BR154" s="1">
        <f t="shared" si="185"/>
        <v>0</v>
      </c>
      <c r="BS154" s="1">
        <f t="shared" si="186"/>
        <v>0</v>
      </c>
      <c r="BT154" s="1">
        <f t="shared" si="187"/>
        <v>0</v>
      </c>
      <c r="BU154" s="1">
        <f t="shared" si="124"/>
        <v>0</v>
      </c>
      <c r="BV154" s="1">
        <f t="shared" si="112"/>
        <v>0</v>
      </c>
      <c r="BW154" s="1">
        <f t="shared" si="113"/>
        <v>0</v>
      </c>
      <c r="BX154" s="1">
        <f t="shared" si="114"/>
        <v>0</v>
      </c>
      <c r="BY154" s="1">
        <f t="shared" si="115"/>
        <v>0</v>
      </c>
      <c r="BZ154" s="1">
        <f t="shared" si="116"/>
        <v>0</v>
      </c>
      <c r="CA154" s="1">
        <f t="shared" si="117"/>
        <v>-20</v>
      </c>
      <c r="CB154" s="1">
        <f t="shared" si="118"/>
        <v>0</v>
      </c>
      <c r="CC154" s="1">
        <f t="shared" si="119"/>
        <v>0</v>
      </c>
      <c r="CD154" s="1">
        <f t="shared" si="120"/>
        <v>0</v>
      </c>
      <c r="CE154" s="1"/>
      <c r="CH154" s="1" t="s">
        <v>87</v>
      </c>
      <c r="CI154" s="1">
        <v>0</v>
      </c>
      <c r="CJ154" s="1">
        <v>0</v>
      </c>
      <c r="CK154" s="1">
        <v>0</v>
      </c>
      <c r="CL154" s="1">
        <v>0</v>
      </c>
      <c r="CM154" s="1">
        <v>0</v>
      </c>
      <c r="CN154" s="1">
        <v>0</v>
      </c>
      <c r="CO154" s="1">
        <v>0</v>
      </c>
      <c r="CP154" s="1">
        <v>0</v>
      </c>
      <c r="CQ154" s="1">
        <v>0</v>
      </c>
      <c r="CR154" s="1">
        <v>0</v>
      </c>
      <c r="CS154" s="1">
        <v>0</v>
      </c>
      <c r="CT154" s="1">
        <v>0</v>
      </c>
      <c r="CU154" s="1">
        <v>0</v>
      </c>
      <c r="CV154" s="1">
        <v>0</v>
      </c>
      <c r="CW154" s="1">
        <v>0</v>
      </c>
      <c r="CX154" s="1">
        <v>0</v>
      </c>
      <c r="CY154" s="1">
        <v>0</v>
      </c>
      <c r="CZ154" s="1">
        <v>0</v>
      </c>
      <c r="DA154" s="1">
        <v>0</v>
      </c>
      <c r="DB154" s="1">
        <v>0</v>
      </c>
      <c r="DC154" s="1">
        <v>0</v>
      </c>
      <c r="DD154" s="1">
        <v>0</v>
      </c>
      <c r="DE154" s="1">
        <v>0</v>
      </c>
      <c r="DF154" s="1">
        <v>0</v>
      </c>
      <c r="DG154" s="1">
        <v>0</v>
      </c>
      <c r="DH154" s="1">
        <v>0</v>
      </c>
      <c r="DI154" s="1">
        <v>0</v>
      </c>
      <c r="DJ154" s="1">
        <v>0</v>
      </c>
      <c r="DK154" s="1">
        <v>0</v>
      </c>
      <c r="DL154" s="1">
        <v>0</v>
      </c>
      <c r="DM154" s="1">
        <v>0</v>
      </c>
      <c r="DN154" s="1">
        <v>0</v>
      </c>
      <c r="DO154" s="1">
        <v>0</v>
      </c>
      <c r="DP154" s="1">
        <v>0</v>
      </c>
      <c r="DQ154" s="1">
        <v>0</v>
      </c>
      <c r="DR154" s="1">
        <v>0</v>
      </c>
      <c r="DS154" s="1">
        <v>0</v>
      </c>
      <c r="DT154" s="1">
        <v>0</v>
      </c>
      <c r="DU154" s="1">
        <v>0</v>
      </c>
      <c r="DV154" s="1">
        <v>0</v>
      </c>
      <c r="DW154" s="1">
        <v>0</v>
      </c>
      <c r="DX154" s="1">
        <v>0</v>
      </c>
      <c r="DY154" s="1">
        <v>0</v>
      </c>
      <c r="DZ154" s="1">
        <v>0</v>
      </c>
      <c r="EA154" s="1">
        <v>0</v>
      </c>
      <c r="EB154" s="1">
        <v>0</v>
      </c>
      <c r="EC154" s="1">
        <v>0</v>
      </c>
      <c r="ED154" s="1">
        <v>0</v>
      </c>
      <c r="EE154" s="1">
        <v>0</v>
      </c>
      <c r="EF154" s="1">
        <v>0</v>
      </c>
      <c r="EG154" s="1">
        <v>0</v>
      </c>
      <c r="EH154" s="1">
        <v>0</v>
      </c>
      <c r="EI154" s="1">
        <v>0</v>
      </c>
      <c r="EJ154" s="1">
        <v>0</v>
      </c>
      <c r="EK154" s="1">
        <v>0</v>
      </c>
      <c r="EL154" s="1">
        <v>0</v>
      </c>
      <c r="EM154" s="1">
        <v>0</v>
      </c>
      <c r="EN154" s="1">
        <v>0</v>
      </c>
      <c r="EO154" s="1">
        <v>0</v>
      </c>
      <c r="EP154" s="1">
        <v>0</v>
      </c>
      <c r="EQ154" s="1">
        <v>0</v>
      </c>
      <c r="ER154" s="1">
        <v>0</v>
      </c>
      <c r="ES154" s="1">
        <v>0</v>
      </c>
      <c r="ET154" s="1">
        <v>0</v>
      </c>
      <c r="EU154" s="1">
        <v>0</v>
      </c>
      <c r="EV154" s="1">
        <v>0</v>
      </c>
      <c r="EW154" s="1">
        <v>0</v>
      </c>
      <c r="EX154" s="1">
        <v>0</v>
      </c>
      <c r="EY154" s="1">
        <v>0</v>
      </c>
      <c r="EZ154" s="1">
        <v>0</v>
      </c>
      <c r="FA154" s="1">
        <v>50</v>
      </c>
      <c r="FB154" s="1">
        <v>0</v>
      </c>
      <c r="FC154" s="1">
        <v>0</v>
      </c>
      <c r="FD154" s="1">
        <v>0</v>
      </c>
      <c r="FE154" s="1">
        <f t="shared" si="122"/>
        <v>50</v>
      </c>
      <c r="FF154" s="1">
        <f>FB157</f>
        <v>42</v>
      </c>
      <c r="FG154" s="1">
        <f t="shared" si="123"/>
        <v>0</v>
      </c>
    </row>
    <row r="155" spans="8:163" ht="15.75" thickBot="1" x14ac:dyDescent="0.3">
      <c r="H155" s="1" t="s">
        <v>88</v>
      </c>
      <c r="I155" s="1">
        <f t="shared" si="121"/>
        <v>0</v>
      </c>
      <c r="J155" s="1">
        <f t="shared" si="125"/>
        <v>0</v>
      </c>
      <c r="K155" s="1">
        <f t="shared" si="126"/>
        <v>0</v>
      </c>
      <c r="L155" s="1">
        <f t="shared" si="127"/>
        <v>0</v>
      </c>
      <c r="M155" s="1">
        <f t="shared" si="128"/>
        <v>0</v>
      </c>
      <c r="N155" s="1">
        <f t="shared" si="129"/>
        <v>0</v>
      </c>
      <c r="O155" s="1">
        <f t="shared" si="130"/>
        <v>0</v>
      </c>
      <c r="P155" s="1">
        <f t="shared" si="131"/>
        <v>0</v>
      </c>
      <c r="Q155" s="1">
        <f t="shared" si="132"/>
        <v>0</v>
      </c>
      <c r="R155" s="1">
        <f t="shared" si="133"/>
        <v>0</v>
      </c>
      <c r="S155" s="1">
        <f t="shared" si="134"/>
        <v>0</v>
      </c>
      <c r="T155" s="1">
        <f t="shared" si="135"/>
        <v>0</v>
      </c>
      <c r="U155" s="1">
        <f t="shared" si="136"/>
        <v>0</v>
      </c>
      <c r="V155" s="1">
        <f t="shared" si="137"/>
        <v>0</v>
      </c>
      <c r="W155" s="1">
        <f t="shared" si="138"/>
        <v>0</v>
      </c>
      <c r="X155" s="1">
        <f t="shared" si="139"/>
        <v>0</v>
      </c>
      <c r="Y155" s="1">
        <f t="shared" si="140"/>
        <v>0</v>
      </c>
      <c r="Z155" s="1">
        <f t="shared" si="141"/>
        <v>0</v>
      </c>
      <c r="AA155" s="1">
        <f t="shared" si="142"/>
        <v>0</v>
      </c>
      <c r="AB155" s="1">
        <f t="shared" si="143"/>
        <v>0</v>
      </c>
      <c r="AC155" s="1">
        <f t="shared" si="144"/>
        <v>0</v>
      </c>
      <c r="AD155" s="1">
        <f t="shared" si="145"/>
        <v>0</v>
      </c>
      <c r="AE155" s="1">
        <f t="shared" si="146"/>
        <v>0</v>
      </c>
      <c r="AF155" s="1">
        <f t="shared" si="147"/>
        <v>0</v>
      </c>
      <c r="AG155" s="1">
        <f t="shared" si="148"/>
        <v>0</v>
      </c>
      <c r="AH155" s="1">
        <f t="shared" si="149"/>
        <v>0</v>
      </c>
      <c r="AI155" s="1">
        <f t="shared" si="150"/>
        <v>0</v>
      </c>
      <c r="AJ155" s="1">
        <f t="shared" si="151"/>
        <v>0</v>
      </c>
      <c r="AK155" s="1">
        <f t="shared" si="152"/>
        <v>0</v>
      </c>
      <c r="AL155" s="1">
        <f t="shared" si="153"/>
        <v>0</v>
      </c>
      <c r="AM155" s="1">
        <f t="shared" si="154"/>
        <v>0</v>
      </c>
      <c r="AN155" s="1">
        <f t="shared" si="155"/>
        <v>0</v>
      </c>
      <c r="AO155" s="1">
        <f t="shared" si="156"/>
        <v>0</v>
      </c>
      <c r="AP155" s="1">
        <f t="shared" si="157"/>
        <v>0</v>
      </c>
      <c r="AQ155" s="1">
        <f t="shared" si="158"/>
        <v>0</v>
      </c>
      <c r="AR155" s="1">
        <f t="shared" si="159"/>
        <v>0</v>
      </c>
      <c r="AS155" s="1">
        <f t="shared" si="160"/>
        <v>0</v>
      </c>
      <c r="AT155" s="1">
        <f t="shared" si="161"/>
        <v>0</v>
      </c>
      <c r="AU155" s="1">
        <f t="shared" si="162"/>
        <v>0</v>
      </c>
      <c r="AV155" s="1">
        <f t="shared" si="163"/>
        <v>0</v>
      </c>
      <c r="AW155" s="1">
        <f t="shared" si="164"/>
        <v>0</v>
      </c>
      <c r="AX155" s="1">
        <f t="shared" si="165"/>
        <v>0</v>
      </c>
      <c r="AY155" s="1">
        <f t="shared" si="166"/>
        <v>0</v>
      </c>
      <c r="AZ155" s="1">
        <f t="shared" si="167"/>
        <v>0</v>
      </c>
      <c r="BA155" s="1">
        <f t="shared" si="168"/>
        <v>0</v>
      </c>
      <c r="BB155" s="1">
        <f t="shared" si="169"/>
        <v>-29</v>
      </c>
      <c r="BC155" s="1">
        <f t="shared" si="170"/>
        <v>0</v>
      </c>
      <c r="BD155" s="1">
        <f t="shared" si="171"/>
        <v>0</v>
      </c>
      <c r="BE155" s="1">
        <f t="shared" si="172"/>
        <v>0</v>
      </c>
      <c r="BF155" s="1">
        <f t="shared" si="173"/>
        <v>0</v>
      </c>
      <c r="BG155" s="1">
        <f t="shared" si="174"/>
        <v>0</v>
      </c>
      <c r="BH155" s="1">
        <f t="shared" si="175"/>
        <v>0</v>
      </c>
      <c r="BI155" s="1">
        <f t="shared" si="176"/>
        <v>0</v>
      </c>
      <c r="BJ155" s="1">
        <f t="shared" si="177"/>
        <v>0</v>
      </c>
      <c r="BK155" s="1">
        <f t="shared" si="178"/>
        <v>0</v>
      </c>
      <c r="BL155" s="1">
        <f t="shared" si="179"/>
        <v>0</v>
      </c>
      <c r="BM155" s="1">
        <f t="shared" si="180"/>
        <v>0</v>
      </c>
      <c r="BN155" s="1">
        <f t="shared" si="181"/>
        <v>0</v>
      </c>
      <c r="BO155" s="1">
        <f t="shared" si="182"/>
        <v>0</v>
      </c>
      <c r="BP155" s="1">
        <f t="shared" si="183"/>
        <v>0</v>
      </c>
      <c r="BQ155" s="1">
        <f t="shared" si="184"/>
        <v>0</v>
      </c>
      <c r="BR155" s="1">
        <f t="shared" si="185"/>
        <v>0</v>
      </c>
      <c r="BS155" s="1">
        <f t="shared" si="186"/>
        <v>0</v>
      </c>
      <c r="BT155" s="1">
        <f t="shared" si="187"/>
        <v>0</v>
      </c>
      <c r="BU155" s="1">
        <f t="shared" si="124"/>
        <v>0</v>
      </c>
      <c r="BV155" s="1">
        <f t="shared" si="112"/>
        <v>0</v>
      </c>
      <c r="BW155" s="1">
        <f t="shared" si="113"/>
        <v>0</v>
      </c>
      <c r="BX155" s="1">
        <f t="shared" si="114"/>
        <v>0</v>
      </c>
      <c r="BY155" s="1">
        <f t="shared" si="115"/>
        <v>0</v>
      </c>
      <c r="BZ155" s="1">
        <f t="shared" si="116"/>
        <v>0</v>
      </c>
      <c r="CA155" s="1">
        <f t="shared" si="117"/>
        <v>0</v>
      </c>
      <c r="CB155" s="1">
        <f t="shared" si="118"/>
        <v>0</v>
      </c>
      <c r="CC155" s="1">
        <f t="shared" si="119"/>
        <v>0</v>
      </c>
      <c r="CD155" s="1">
        <f t="shared" si="120"/>
        <v>0</v>
      </c>
      <c r="CE155" s="1"/>
      <c r="CH155" s="1" t="s">
        <v>88</v>
      </c>
      <c r="CI155" s="1">
        <v>0</v>
      </c>
      <c r="CJ155" s="1">
        <v>0</v>
      </c>
      <c r="CK155" s="1">
        <v>0</v>
      </c>
      <c r="CL155" s="1">
        <v>0</v>
      </c>
      <c r="CM155" s="1">
        <v>0</v>
      </c>
      <c r="CN155" s="1">
        <v>0</v>
      </c>
      <c r="CO155" s="1">
        <v>0</v>
      </c>
      <c r="CP155" s="1">
        <v>0</v>
      </c>
      <c r="CQ155" s="1">
        <v>0</v>
      </c>
      <c r="CR155" s="1">
        <v>0</v>
      </c>
      <c r="CS155" s="1">
        <v>0</v>
      </c>
      <c r="CT155" s="1">
        <v>0</v>
      </c>
      <c r="CU155" s="1">
        <v>0</v>
      </c>
      <c r="CV155" s="1">
        <v>0</v>
      </c>
      <c r="CW155" s="1">
        <v>0</v>
      </c>
      <c r="CX155" s="1">
        <v>0</v>
      </c>
      <c r="CY155" s="1">
        <v>0</v>
      </c>
      <c r="CZ155" s="1">
        <v>0</v>
      </c>
      <c r="DA155" s="1">
        <v>0</v>
      </c>
      <c r="DB155" s="1">
        <v>0</v>
      </c>
      <c r="DC155" s="1">
        <v>0</v>
      </c>
      <c r="DD155" s="1">
        <v>0</v>
      </c>
      <c r="DE155" s="1">
        <v>0</v>
      </c>
      <c r="DF155" s="1">
        <v>0</v>
      </c>
      <c r="DG155" s="1">
        <v>0</v>
      </c>
      <c r="DH155" s="1">
        <v>0</v>
      </c>
      <c r="DI155" s="1">
        <v>0</v>
      </c>
      <c r="DJ155" s="1">
        <v>0</v>
      </c>
      <c r="DK155" s="1">
        <v>0</v>
      </c>
      <c r="DL155" s="1">
        <v>0</v>
      </c>
      <c r="DM155" s="1">
        <v>0</v>
      </c>
      <c r="DN155" s="1">
        <v>0</v>
      </c>
      <c r="DO155" s="1">
        <v>0</v>
      </c>
      <c r="DP155" s="1">
        <v>0</v>
      </c>
      <c r="DQ155" s="1">
        <v>0</v>
      </c>
      <c r="DR155" s="1">
        <v>0</v>
      </c>
      <c r="DS155" s="1">
        <v>0</v>
      </c>
      <c r="DT155" s="1">
        <v>0</v>
      </c>
      <c r="DU155" s="1">
        <v>0</v>
      </c>
      <c r="DV155" s="1">
        <v>0</v>
      </c>
      <c r="DW155" s="1">
        <v>0</v>
      </c>
      <c r="DX155" s="1">
        <v>0</v>
      </c>
      <c r="DY155" s="1">
        <v>0</v>
      </c>
      <c r="DZ155" s="1">
        <v>0</v>
      </c>
      <c r="EA155" s="1">
        <v>0</v>
      </c>
      <c r="EB155" s="1">
        <v>41</v>
      </c>
      <c r="EC155" s="1">
        <v>0</v>
      </c>
      <c r="ED155" s="1">
        <v>0</v>
      </c>
      <c r="EE155" s="1">
        <v>0</v>
      </c>
      <c r="EF155" s="1">
        <v>0</v>
      </c>
      <c r="EG155" s="1">
        <v>0</v>
      </c>
      <c r="EH155" s="1">
        <v>0</v>
      </c>
      <c r="EI155" s="1">
        <v>0</v>
      </c>
      <c r="EJ155" s="1">
        <v>0</v>
      </c>
      <c r="EK155" s="1">
        <v>0</v>
      </c>
      <c r="EL155" s="1">
        <v>0</v>
      </c>
      <c r="EM155" s="1">
        <v>0</v>
      </c>
      <c r="EN155" s="1">
        <v>0</v>
      </c>
      <c r="EO155" s="1">
        <v>0</v>
      </c>
      <c r="EP155" s="1">
        <v>0</v>
      </c>
      <c r="EQ155" s="1">
        <v>0</v>
      </c>
      <c r="ER155" s="1">
        <v>0</v>
      </c>
      <c r="ES155" s="1">
        <v>0</v>
      </c>
      <c r="ET155" s="1">
        <v>0</v>
      </c>
      <c r="EU155" s="1">
        <v>0</v>
      </c>
      <c r="EV155" s="1">
        <v>0</v>
      </c>
      <c r="EW155" s="1">
        <v>0</v>
      </c>
      <c r="EX155" s="1">
        <v>0</v>
      </c>
      <c r="EY155" s="1">
        <v>0</v>
      </c>
      <c r="EZ155" s="1">
        <v>0</v>
      </c>
      <c r="FA155" s="1">
        <v>0</v>
      </c>
      <c r="FB155" s="1">
        <v>0</v>
      </c>
      <c r="FC155" s="1">
        <v>0</v>
      </c>
      <c r="FD155" s="1">
        <v>0</v>
      </c>
      <c r="FE155" s="1">
        <f t="shared" si="122"/>
        <v>41</v>
      </c>
      <c r="FF155" s="1">
        <f>FC157</f>
        <v>34</v>
      </c>
      <c r="FG155" s="1">
        <f t="shared" si="123"/>
        <v>0</v>
      </c>
    </row>
    <row r="156" spans="8:163" ht="15.75" thickBot="1" x14ac:dyDescent="0.3">
      <c r="H156" s="1" t="s">
        <v>89</v>
      </c>
      <c r="I156" s="1">
        <f t="shared" si="121"/>
        <v>0</v>
      </c>
      <c r="J156" s="1">
        <f t="shared" si="125"/>
        <v>0</v>
      </c>
      <c r="K156" s="1">
        <f t="shared" si="126"/>
        <v>0</v>
      </c>
      <c r="L156" s="1">
        <f t="shared" si="127"/>
        <v>0</v>
      </c>
      <c r="M156" s="1">
        <f t="shared" si="128"/>
        <v>0</v>
      </c>
      <c r="N156" s="1">
        <f t="shared" si="129"/>
        <v>0</v>
      </c>
      <c r="O156" s="1">
        <f t="shared" si="130"/>
        <v>0</v>
      </c>
      <c r="P156" s="1">
        <f t="shared" si="131"/>
        <v>0</v>
      </c>
      <c r="Q156" s="1">
        <f t="shared" si="132"/>
        <v>0</v>
      </c>
      <c r="R156" s="1">
        <f t="shared" si="133"/>
        <v>0</v>
      </c>
      <c r="S156" s="1">
        <f t="shared" si="134"/>
        <v>0</v>
      </c>
      <c r="T156" s="1">
        <f t="shared" si="135"/>
        <v>0</v>
      </c>
      <c r="U156" s="1">
        <f t="shared" si="136"/>
        <v>0</v>
      </c>
      <c r="V156" s="1">
        <f t="shared" si="137"/>
        <v>0</v>
      </c>
      <c r="W156" s="1">
        <f t="shared" si="138"/>
        <v>0</v>
      </c>
      <c r="X156" s="1">
        <f t="shared" si="139"/>
        <v>0</v>
      </c>
      <c r="Y156" s="1">
        <f t="shared" si="140"/>
        <v>0</v>
      </c>
      <c r="Z156" s="1">
        <f t="shared" si="141"/>
        <v>0</v>
      </c>
      <c r="AA156" s="1">
        <f t="shared" si="142"/>
        <v>0</v>
      </c>
      <c r="AB156" s="1">
        <f t="shared" si="143"/>
        <v>0</v>
      </c>
      <c r="AC156" s="1">
        <f t="shared" si="144"/>
        <v>0</v>
      </c>
      <c r="AD156" s="1">
        <f t="shared" si="145"/>
        <v>0</v>
      </c>
      <c r="AE156" s="1">
        <f t="shared" si="146"/>
        <v>0</v>
      </c>
      <c r="AF156" s="1">
        <f t="shared" si="147"/>
        <v>0</v>
      </c>
      <c r="AG156" s="1">
        <f t="shared" si="148"/>
        <v>0</v>
      </c>
      <c r="AH156" s="1">
        <f t="shared" si="149"/>
        <v>0</v>
      </c>
      <c r="AI156" s="1">
        <f t="shared" si="150"/>
        <v>0</v>
      </c>
      <c r="AJ156" s="1">
        <f t="shared" si="151"/>
        <v>0</v>
      </c>
      <c r="AK156" s="1">
        <f t="shared" si="152"/>
        <v>0</v>
      </c>
      <c r="AL156" s="1">
        <f t="shared" si="153"/>
        <v>0</v>
      </c>
      <c r="AM156" s="1">
        <f t="shared" si="154"/>
        <v>0</v>
      </c>
      <c r="AN156" s="1">
        <f t="shared" si="155"/>
        <v>0</v>
      </c>
      <c r="AO156" s="1">
        <f t="shared" si="156"/>
        <v>0</v>
      </c>
      <c r="AP156" s="1">
        <f t="shared" si="157"/>
        <v>0</v>
      </c>
      <c r="AQ156" s="1">
        <f t="shared" si="158"/>
        <v>0</v>
      </c>
      <c r="AR156" s="1">
        <f t="shared" si="159"/>
        <v>0</v>
      </c>
      <c r="AS156" s="1">
        <f t="shared" si="160"/>
        <v>0</v>
      </c>
      <c r="AT156" s="1">
        <f t="shared" si="161"/>
        <v>0</v>
      </c>
      <c r="AU156" s="1">
        <f t="shared" si="162"/>
        <v>0</v>
      </c>
      <c r="AV156" s="1">
        <f t="shared" si="163"/>
        <v>0</v>
      </c>
      <c r="AW156" s="1">
        <f t="shared" si="164"/>
        <v>0</v>
      </c>
      <c r="AX156" s="1">
        <f t="shared" si="165"/>
        <v>0</v>
      </c>
      <c r="AY156" s="1">
        <f t="shared" si="166"/>
        <v>0</v>
      </c>
      <c r="AZ156" s="1">
        <f t="shared" si="167"/>
        <v>0</v>
      </c>
      <c r="BA156" s="1">
        <f t="shared" si="168"/>
        <v>0</v>
      </c>
      <c r="BB156" s="1">
        <f t="shared" si="169"/>
        <v>0</v>
      </c>
      <c r="BC156" s="1">
        <f t="shared" si="170"/>
        <v>0</v>
      </c>
      <c r="BD156" s="1">
        <f t="shared" si="171"/>
        <v>0</v>
      </c>
      <c r="BE156" s="1">
        <f t="shared" si="172"/>
        <v>0</v>
      </c>
      <c r="BF156" s="1">
        <f t="shared" si="173"/>
        <v>0</v>
      </c>
      <c r="BG156" s="1">
        <f t="shared" si="174"/>
        <v>0</v>
      </c>
      <c r="BH156" s="1">
        <f t="shared" si="175"/>
        <v>0</v>
      </c>
      <c r="BI156" s="1">
        <f t="shared" si="176"/>
        <v>0</v>
      </c>
      <c r="BJ156" s="1">
        <f t="shared" si="177"/>
        <v>0</v>
      </c>
      <c r="BK156" s="1">
        <f t="shared" si="178"/>
        <v>0</v>
      </c>
      <c r="BL156" s="1">
        <f t="shared" si="179"/>
        <v>0</v>
      </c>
      <c r="BM156" s="1">
        <f t="shared" si="180"/>
        <v>-43</v>
      </c>
      <c r="BN156" s="1">
        <f t="shared" si="181"/>
        <v>0</v>
      </c>
      <c r="BO156" s="1">
        <f t="shared" si="182"/>
        <v>0</v>
      </c>
      <c r="BP156" s="1">
        <f t="shared" si="183"/>
        <v>0</v>
      </c>
      <c r="BQ156" s="1">
        <f t="shared" si="184"/>
        <v>0</v>
      </c>
      <c r="BR156" s="1">
        <f t="shared" si="185"/>
        <v>0</v>
      </c>
      <c r="BS156" s="1">
        <f t="shared" si="186"/>
        <v>0</v>
      </c>
      <c r="BT156" s="1">
        <f t="shared" si="187"/>
        <v>0</v>
      </c>
      <c r="BU156" s="1">
        <f t="shared" si="124"/>
        <v>0</v>
      </c>
      <c r="BV156" s="1">
        <f t="shared" si="112"/>
        <v>0</v>
      </c>
      <c r="BW156" s="1">
        <f t="shared" si="113"/>
        <v>0</v>
      </c>
      <c r="BX156" s="1">
        <f t="shared" si="114"/>
        <v>0</v>
      </c>
      <c r="BY156" s="1">
        <f t="shared" si="115"/>
        <v>0</v>
      </c>
      <c r="BZ156" s="1">
        <f t="shared" si="116"/>
        <v>0</v>
      </c>
      <c r="CA156" s="1">
        <f t="shared" si="117"/>
        <v>0</v>
      </c>
      <c r="CB156" s="1">
        <f t="shared" si="118"/>
        <v>0</v>
      </c>
      <c r="CC156" s="1">
        <f t="shared" si="119"/>
        <v>0</v>
      </c>
      <c r="CD156" s="1">
        <f t="shared" si="120"/>
        <v>0</v>
      </c>
      <c r="CE156" s="1"/>
      <c r="CH156" s="1" t="s">
        <v>89</v>
      </c>
      <c r="CI156" s="1">
        <v>0</v>
      </c>
      <c r="CJ156" s="1">
        <v>0</v>
      </c>
      <c r="CK156" s="1">
        <v>0</v>
      </c>
      <c r="CL156" s="1">
        <v>0</v>
      </c>
      <c r="CM156" s="1">
        <v>0</v>
      </c>
      <c r="CN156" s="1">
        <v>0</v>
      </c>
      <c r="CO156" s="1">
        <v>0</v>
      </c>
      <c r="CP156" s="1">
        <v>0</v>
      </c>
      <c r="CQ156" s="1">
        <v>0</v>
      </c>
      <c r="CR156" s="1">
        <v>0</v>
      </c>
      <c r="CS156" s="1">
        <v>0</v>
      </c>
      <c r="CT156" s="1">
        <v>0</v>
      </c>
      <c r="CU156" s="1">
        <v>0</v>
      </c>
      <c r="CV156" s="1">
        <v>0</v>
      </c>
      <c r="CW156" s="1">
        <v>0</v>
      </c>
      <c r="CX156" s="1">
        <v>0</v>
      </c>
      <c r="CY156" s="1">
        <v>0</v>
      </c>
      <c r="CZ156" s="1">
        <v>0</v>
      </c>
      <c r="DA156" s="1">
        <v>0</v>
      </c>
      <c r="DB156" s="1">
        <v>0</v>
      </c>
      <c r="DC156" s="1">
        <v>0</v>
      </c>
      <c r="DD156" s="1">
        <v>0</v>
      </c>
      <c r="DE156" s="1">
        <v>0</v>
      </c>
      <c r="DF156" s="1">
        <v>0</v>
      </c>
      <c r="DG156" s="1">
        <v>0</v>
      </c>
      <c r="DH156" s="1">
        <v>0</v>
      </c>
      <c r="DI156" s="1">
        <v>0</v>
      </c>
      <c r="DJ156" s="1">
        <v>0</v>
      </c>
      <c r="DK156" s="1">
        <v>0</v>
      </c>
      <c r="DL156" s="1">
        <v>0</v>
      </c>
      <c r="DM156" s="1">
        <v>0</v>
      </c>
      <c r="DN156" s="1">
        <v>0</v>
      </c>
      <c r="DO156" s="1">
        <v>0</v>
      </c>
      <c r="DP156" s="1">
        <v>0</v>
      </c>
      <c r="DQ156" s="1">
        <v>0</v>
      </c>
      <c r="DR156" s="1">
        <v>0</v>
      </c>
      <c r="DS156" s="1">
        <v>0</v>
      </c>
      <c r="DT156" s="1">
        <v>0</v>
      </c>
      <c r="DU156" s="1">
        <v>0</v>
      </c>
      <c r="DV156" s="1">
        <v>0</v>
      </c>
      <c r="DW156" s="1">
        <v>0</v>
      </c>
      <c r="DX156" s="1">
        <v>0</v>
      </c>
      <c r="DY156" s="1">
        <v>0</v>
      </c>
      <c r="DZ156" s="1">
        <v>0</v>
      </c>
      <c r="EA156" s="1">
        <v>0</v>
      </c>
      <c r="EB156" s="1">
        <v>0</v>
      </c>
      <c r="EC156" s="1">
        <v>0</v>
      </c>
      <c r="ED156" s="1">
        <v>0</v>
      </c>
      <c r="EE156" s="1">
        <v>0</v>
      </c>
      <c r="EF156" s="1">
        <v>0</v>
      </c>
      <c r="EG156" s="1">
        <v>0</v>
      </c>
      <c r="EH156" s="1">
        <v>0</v>
      </c>
      <c r="EI156" s="1">
        <v>0</v>
      </c>
      <c r="EJ156" s="1">
        <v>0</v>
      </c>
      <c r="EK156" s="1">
        <v>0</v>
      </c>
      <c r="EL156" s="1">
        <v>0</v>
      </c>
      <c r="EM156" s="1">
        <v>27</v>
      </c>
      <c r="EN156" s="1">
        <v>0</v>
      </c>
      <c r="EO156" s="1">
        <v>0</v>
      </c>
      <c r="EP156" s="1">
        <v>0</v>
      </c>
      <c r="EQ156" s="1">
        <v>0</v>
      </c>
      <c r="ER156" s="1">
        <v>0</v>
      </c>
      <c r="ES156" s="1">
        <v>0</v>
      </c>
      <c r="ET156" s="1">
        <v>0</v>
      </c>
      <c r="EU156" s="1">
        <v>0</v>
      </c>
      <c r="EV156" s="1">
        <v>0</v>
      </c>
      <c r="EW156" s="1">
        <v>0</v>
      </c>
      <c r="EX156" s="1">
        <v>0</v>
      </c>
      <c r="EY156" s="1">
        <v>0</v>
      </c>
      <c r="EZ156" s="1">
        <v>0</v>
      </c>
      <c r="FA156" s="1">
        <v>0</v>
      </c>
      <c r="FB156" s="1">
        <v>0</v>
      </c>
      <c r="FC156" s="1">
        <v>0</v>
      </c>
      <c r="FD156" s="1">
        <v>0</v>
      </c>
      <c r="FE156" s="1">
        <f t="shared" si="122"/>
        <v>27</v>
      </c>
      <c r="FF156" s="1">
        <f>FD157</f>
        <v>22</v>
      </c>
      <c r="FG156" s="1">
        <f t="shared" si="123"/>
        <v>0</v>
      </c>
    </row>
    <row r="157" spans="8:163" ht="15.75" thickBot="1" x14ac:dyDescent="0.3"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H157" s="1"/>
      <c r="CI157" s="1">
        <f>SUM(CI83:CI156)</f>
        <v>574</v>
      </c>
      <c r="CJ157" s="1">
        <f t="shared" ref="CJ157:EU157" si="188">SUM(CJ83:CJ156)</f>
        <v>0</v>
      </c>
      <c r="CK157" s="1">
        <f t="shared" si="188"/>
        <v>0</v>
      </c>
      <c r="CL157" s="1">
        <f t="shared" si="188"/>
        <v>0</v>
      </c>
      <c r="CM157" s="1">
        <f t="shared" si="188"/>
        <v>56</v>
      </c>
      <c r="CN157" s="1">
        <f t="shared" si="188"/>
        <v>65</v>
      </c>
      <c r="CO157" s="1">
        <f t="shared" si="188"/>
        <v>18</v>
      </c>
      <c r="CP157" s="1">
        <f t="shared" si="188"/>
        <v>49</v>
      </c>
      <c r="CQ157" s="1">
        <f t="shared" si="188"/>
        <v>40</v>
      </c>
      <c r="CR157" s="1">
        <f t="shared" si="188"/>
        <v>41</v>
      </c>
      <c r="CS157" s="1">
        <f t="shared" si="188"/>
        <v>67</v>
      </c>
      <c r="CT157" s="1">
        <f t="shared" si="188"/>
        <v>45</v>
      </c>
      <c r="CU157" s="1">
        <f t="shared" si="188"/>
        <v>61</v>
      </c>
      <c r="CV157" s="1">
        <f t="shared" si="188"/>
        <v>48</v>
      </c>
      <c r="CW157" s="1">
        <f t="shared" si="188"/>
        <v>26</v>
      </c>
      <c r="CX157" s="1">
        <f t="shared" si="188"/>
        <v>26</v>
      </c>
      <c r="CY157" s="1">
        <f t="shared" si="188"/>
        <v>62</v>
      </c>
      <c r="CZ157" s="1">
        <f t="shared" si="188"/>
        <v>0</v>
      </c>
      <c r="DA157" s="1">
        <f t="shared" si="188"/>
        <v>35</v>
      </c>
      <c r="DB157" s="1">
        <f t="shared" si="188"/>
        <v>59</v>
      </c>
      <c r="DC157" s="1">
        <f t="shared" si="188"/>
        <v>0</v>
      </c>
      <c r="DD157" s="1">
        <f t="shared" si="188"/>
        <v>25</v>
      </c>
      <c r="DE157" s="1">
        <f t="shared" si="188"/>
        <v>20</v>
      </c>
      <c r="DF157" s="1">
        <f t="shared" si="188"/>
        <v>14</v>
      </c>
      <c r="DG157" s="1">
        <f t="shared" si="188"/>
        <v>0</v>
      </c>
      <c r="DH157" s="1">
        <f t="shared" si="188"/>
        <v>0</v>
      </c>
      <c r="DI157" s="1">
        <f t="shared" si="188"/>
        <v>62</v>
      </c>
      <c r="DJ157" s="1">
        <f t="shared" si="188"/>
        <v>52</v>
      </c>
      <c r="DK157" s="1">
        <f t="shared" si="188"/>
        <v>0</v>
      </c>
      <c r="DL157" s="1">
        <f t="shared" si="188"/>
        <v>8</v>
      </c>
      <c r="DM157" s="1">
        <f t="shared" si="188"/>
        <v>12</v>
      </c>
      <c r="DN157" s="1">
        <f t="shared" si="188"/>
        <v>23</v>
      </c>
      <c r="DO157" s="1">
        <f t="shared" si="188"/>
        <v>17</v>
      </c>
      <c r="DP157" s="1">
        <f t="shared" si="188"/>
        <v>33</v>
      </c>
      <c r="DQ157" s="1">
        <f t="shared" si="188"/>
        <v>9</v>
      </c>
      <c r="DR157" s="1">
        <f t="shared" si="188"/>
        <v>58</v>
      </c>
      <c r="DS157" s="1">
        <f t="shared" si="188"/>
        <v>23</v>
      </c>
      <c r="DT157" s="1">
        <f t="shared" si="188"/>
        <v>49</v>
      </c>
      <c r="DU157" s="1">
        <f t="shared" si="188"/>
        <v>5</v>
      </c>
      <c r="DV157" s="1">
        <f t="shared" si="188"/>
        <v>45</v>
      </c>
      <c r="DW157" s="1">
        <f t="shared" si="188"/>
        <v>10</v>
      </c>
      <c r="DX157" s="1">
        <f t="shared" si="188"/>
        <v>37</v>
      </c>
      <c r="DY157" s="1">
        <f t="shared" si="188"/>
        <v>23</v>
      </c>
      <c r="DZ157" s="1">
        <f t="shared" si="188"/>
        <v>49</v>
      </c>
      <c r="EA157" s="1">
        <f t="shared" si="188"/>
        <v>57</v>
      </c>
      <c r="EB157" s="1">
        <f t="shared" si="188"/>
        <v>41</v>
      </c>
      <c r="EC157" s="1">
        <f t="shared" si="188"/>
        <v>14</v>
      </c>
      <c r="ED157" s="1">
        <f t="shared" si="188"/>
        <v>26</v>
      </c>
      <c r="EE157" s="1">
        <f t="shared" si="188"/>
        <v>14</v>
      </c>
      <c r="EF157" s="1">
        <f t="shared" si="188"/>
        <v>23</v>
      </c>
      <c r="EG157" s="1">
        <f t="shared" si="188"/>
        <v>21</v>
      </c>
      <c r="EH157" s="1">
        <f t="shared" si="188"/>
        <v>43</v>
      </c>
      <c r="EI157" s="1">
        <f t="shared" si="188"/>
        <v>35</v>
      </c>
      <c r="EJ157" s="1">
        <f t="shared" si="188"/>
        <v>17</v>
      </c>
      <c r="EK157" s="1">
        <f t="shared" si="188"/>
        <v>12</v>
      </c>
      <c r="EL157" s="1">
        <f t="shared" si="188"/>
        <v>59</v>
      </c>
      <c r="EM157" s="1">
        <f t="shared" si="188"/>
        <v>27</v>
      </c>
      <c r="EN157" s="1">
        <f t="shared" si="188"/>
        <v>37</v>
      </c>
      <c r="EO157" s="1">
        <f t="shared" si="188"/>
        <v>61</v>
      </c>
      <c r="EP157" s="1">
        <f t="shared" si="188"/>
        <v>58</v>
      </c>
      <c r="EQ157" s="1">
        <f t="shared" si="188"/>
        <v>0</v>
      </c>
      <c r="ER157" s="1">
        <f t="shared" si="188"/>
        <v>0</v>
      </c>
      <c r="ES157" s="1">
        <f t="shared" si="188"/>
        <v>4</v>
      </c>
      <c r="ET157" s="1">
        <f t="shared" si="188"/>
        <v>40</v>
      </c>
      <c r="EU157" s="1">
        <f t="shared" si="188"/>
        <v>28</v>
      </c>
      <c r="EV157" s="1">
        <f t="shared" ref="EV157:FD157" si="189">SUM(EV83:EV156)</f>
        <v>46</v>
      </c>
      <c r="EW157" s="1">
        <f t="shared" si="189"/>
        <v>45</v>
      </c>
      <c r="EX157" s="1">
        <f t="shared" si="189"/>
        <v>38</v>
      </c>
      <c r="EY157" s="1">
        <f t="shared" si="189"/>
        <v>50</v>
      </c>
      <c r="EZ157" s="1">
        <f t="shared" si="189"/>
        <v>41</v>
      </c>
      <c r="FA157" s="1">
        <f t="shared" si="189"/>
        <v>50</v>
      </c>
      <c r="FB157" s="1">
        <f t="shared" si="189"/>
        <v>42</v>
      </c>
      <c r="FC157" s="1">
        <f t="shared" si="189"/>
        <v>34</v>
      </c>
      <c r="FD157" s="1">
        <f t="shared" si="189"/>
        <v>22</v>
      </c>
      <c r="FE157" s="1"/>
      <c r="FF157" s="1"/>
      <c r="FG157" s="1"/>
    </row>
  </sheetData>
  <mergeCells count="1">
    <mergeCell ref="H3:J5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hart">
                <anchor moveWithCells="1" sizeWithCells="1">
                  <from>
                    <xdr:col>0</xdr:col>
                    <xdr:colOff>666750</xdr:colOff>
                    <xdr:row>10</xdr:row>
                    <xdr:rowOff>190500</xdr:rowOff>
                  </from>
                  <to>
                    <xdr:col>2</xdr:col>
                    <xdr:colOff>542925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lution">
                <anchor moveWithCells="1" sizeWithCells="1">
                  <from>
                    <xdr:col>0</xdr:col>
                    <xdr:colOff>638175</xdr:colOff>
                    <xdr:row>15</xdr:row>
                    <xdr:rowOff>161925</xdr:rowOff>
                  </from>
                  <to>
                    <xdr:col>2</xdr:col>
                    <xdr:colOff>504825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tart">
                <anchor moveWithCells="1" sizeWithCells="1">
                  <from>
                    <xdr:col>0</xdr:col>
                    <xdr:colOff>695325</xdr:colOff>
                    <xdr:row>6</xdr:row>
                    <xdr:rowOff>38100</xdr:rowOff>
                  </from>
                  <to>
                    <xdr:col>2</xdr:col>
                    <xdr:colOff>619125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ddClient">
                <anchor moveWithCells="1" sizeWithCells="1">
                  <from>
                    <xdr:col>0</xdr:col>
                    <xdr:colOff>590550</xdr:colOff>
                    <xdr:row>21</xdr:row>
                    <xdr:rowOff>114300</xdr:rowOff>
                  </from>
                  <to>
                    <xdr:col>2</xdr:col>
                    <xdr:colOff>571500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graphsol">
                <anchor moveWithCells="1" sizeWithCells="1">
                  <from>
                    <xdr:col>3</xdr:col>
                    <xdr:colOff>561975</xdr:colOff>
                    <xdr:row>21</xdr:row>
                    <xdr:rowOff>180975</xdr:rowOff>
                  </from>
                  <to>
                    <xdr:col>5</xdr:col>
                    <xdr:colOff>685800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graphsol">
                <anchor moveWithCells="1" sizeWithCells="1">
                  <from>
                    <xdr:col>4</xdr:col>
                    <xdr:colOff>190500</xdr:colOff>
                    <xdr:row>122</xdr:row>
                    <xdr:rowOff>123825</xdr:rowOff>
                  </from>
                  <to>
                    <xdr:col>6</xdr:col>
                    <xdr:colOff>314325</xdr:colOff>
                    <xdr:row>125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graphsol">
                <anchor moveWithCells="1" sizeWithCells="1">
                  <from>
                    <xdr:col>4</xdr:col>
                    <xdr:colOff>190500</xdr:colOff>
                    <xdr:row>86</xdr:row>
                    <xdr:rowOff>123825</xdr:rowOff>
                  </from>
                  <to>
                    <xdr:col>6</xdr:col>
                    <xdr:colOff>314325</xdr:colOff>
                    <xdr:row>89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DF36C-5FD4-4C6D-91A7-42A2A0ABF2C6}">
  <sheetPr codeName="Feuil2"/>
  <dimension ref="A1"/>
  <sheetViews>
    <sheetView zoomScale="94" workbookViewId="0">
      <selection activeCell="E2" sqref="E2:AA22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Hp_PC</dc:creator>
  <cp:lastModifiedBy>Hp_PC</cp:lastModifiedBy>
  <dcterms:created xsi:type="dcterms:W3CDTF">2023-04-19T10:51:44Z</dcterms:created>
  <dcterms:modified xsi:type="dcterms:W3CDTF">2023-04-27T01:40:37Z</dcterms:modified>
</cp:coreProperties>
</file>